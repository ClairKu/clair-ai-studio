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f2d97115a346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职级标准" sheetId="1" r:id="Rdd6581b56b844d9c"/>
    <x:sheet xmlns:r="http://schemas.openxmlformats.org/officeDocument/2006/relationships" name="AI产品专项" sheetId="2" r:id="Rb432a36317524594"/>
    <x:sheet xmlns:r="http://schemas.openxmlformats.org/officeDocument/2006/relationships" name="视觉设计AI补充" sheetId="3" r:id="Rfeb04e913bf14f64"/>
    <x:sheet xmlns:r="http://schemas.openxmlformats.org/officeDocument/2006/relationships" name="评估模板" sheetId="4" r:id="Ra2d23d1ffeb14dbd"/>
    <x:sheet xmlns:r="http://schemas.openxmlformats.org/officeDocument/2006/relationships" name="证据与校准" sheetId="5" r:id="R91970c33e1204a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0">
    <x:font>
      <x:sz val="11"/>
      <x:name val="Carlito"/>
    </x:font>
    <x:font>
      <x:b/>
      <x:sz val="16"/>
      <x:color rgb="FF1C2624"/>
      <x:name val="Arial"/>
    </x:font>
    <x:font>
      <x:i/>
      <x:sz val="10"/>
      <x:color rgb="FF64706D"/>
      <x:name val="Arial"/>
    </x:font>
    <x:font>
      <x:b/>
      <x:sz val="10"/>
      <x:color rgb="FFFFFFFF"/>
      <x:name val="Arial"/>
    </x:font>
    <x:font>
      <x:sz val="10"/>
      <x:color rgb="FF1C2624"/>
      <x:name val="Arial"/>
    </x:font>
    <x:font>
      <x:b/>
      <x:sz val="10"/>
      <x:color rgb="FF13473F"/>
      <x:name val="Arial"/>
    </x:font>
    <x:font>
      <x:sz val="11"/>
      <x:name val="Arial"/>
    </x:font>
    <x:font>
      <x:b/>
      <x:sz val="10"/>
      <x:color rgb="FF2D638F"/>
      <x:name val="Arial"/>
    </x:font>
    <x:font>
      <x:b/>
      <x:sz val="10"/>
      <x:color rgb="FF7B561C"/>
      <x:name val="Arial"/>
    </x:font>
    <x:font>
      <x:b/>
      <x:sz val="10"/>
      <x:color rgb="FF1C2624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3473F"/>
      </x:patternFill>
    </x:fill>
    <x:fill>
      <x:patternFill patternType="solid">
        <x:fgColor rgb="FFDCEFE8"/>
      </x:patternFill>
    </x:fill>
    <x:fill>
      <x:patternFill patternType="solid">
        <x:fgColor rgb="FFE7F0F8"/>
      </x:patternFill>
    </x:fill>
    <x:fill>
      <x:patternFill patternType="solid">
        <x:fgColor rgb="FFFFF0D4"/>
      </x:patternFill>
    </x:fill>
    <x:fill>
      <x:patternFill patternType="solid">
        <x:fgColor rgb="FFF3F5F2"/>
      </x:patternFill>
    </x:fill>
    <x:fill>
      <x:patternFill patternType="solid">
        <x:fgColor rgb="FF2D638F"/>
      </x:patternFill>
    </x:fill>
  </x:fills>
  <x:borders count="10">
    <x:border/>
    <x:border>
      <x:bottom style="medium">
        <x:color rgb="FF0E6655"/>
      </x:bottom>
    </x:border>
    <x:border>
      <x:right style="thin">
        <x:color rgb="FFFFFFFF"/>
      </x:right>
      <x:bottom style="thin">
        <x:color rgb="FF13473F"/>
      </x:bottom>
    </x:border>
    <x:border>
      <x:left style="thin">
        <x:color rgb="FFFFFFFF"/>
      </x:left>
      <x:right style="thin">
        <x:color rgb="FFFFFFFF"/>
      </x:right>
      <x:bottom style="thin">
        <x:color rgb="FF13473F"/>
      </x:bottom>
    </x:border>
    <x:border>
      <x:left style="thin">
        <x:color rgb="FFFFFFFF"/>
      </x:left>
      <x:bottom style="thin">
        <x:color rgb="FF13473F"/>
      </x:bottom>
    </x:border>
    <x:border>
      <x:bottom style="thin">
        <x:color rgb="FFD9DDD5"/>
      </x:bottom>
    </x:border>
    <x:border>
      <x:top style="thin">
        <x:color rgb="FFD9DDD5"/>
      </x:top>
      <x:bottom style="thin">
        <x:color rgb="FFD9DDD5"/>
      </x:bottom>
    </x:border>
    <x:border>
      <x:left style="thin">
        <x:color rgb="FFD9DDD5"/>
      </x:left>
      <x:right style="thin">
        <x:color rgb="FFD9DDD5"/>
      </x:right>
      <x:top style="thin">
        <x:color rgb="FFD9DDD5"/>
      </x:top>
    </x:border>
    <x:border>
      <x:left style="thin">
        <x:color rgb="FFD9DDD5"/>
      </x:left>
      <x:right style="thin">
        <x:color rgb="FFD9DDD5"/>
      </x:right>
    </x:border>
    <x:border>
      <x:left style="thin">
        <x:color rgb="FFD9DDD5"/>
      </x:left>
      <x:right style="thin">
        <x:color rgb="FFD9DDD5"/>
      </x:right>
      <x:bottom style="thin">
        <x:color rgb="FFD9DDD5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6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6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4" fillId="4" borderId="5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vertical="top" wrapText="1"/>
    </x:xf>
    <x:xf numFmtId="0" fontId="7" fillId="4" borderId="5" xfId="0" applyNumberFormat="1" applyFont="1" applyFill="1" applyBorder="1" applyAlignment="1">
      <x:alignment vertical="top" wrapText="1"/>
    </x:xf>
    <x:xf numFmtId="0" fontId="7" fillId="4" borderId="6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8" fillId="5" borderId="5" xfId="0" applyNumberFormat="1" applyFont="1" applyFill="1" applyBorder="1" applyAlignment="1">
      <x:alignment vertical="top" wrapText="1"/>
    </x:xf>
    <x:xf numFmtId="0" fontId="8" fillId="5" borderId="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7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horizontal="center" vertical="top" wrapText="1"/>
    </x:xf>
    <x:xf numFmtId="0" fontId="4" fillId="5" borderId="6" xfId="0" applyNumberFormat="1" applyFont="1" applyFill="1" applyBorder="1" applyAlignment="1">
      <x:alignment horizontal="center" vertical="top" wrapText="1"/>
    </x:xf>
    <x:xf numFmtId="200" fontId="4" fillId="0" borderId="5" xfId="0" applyNumberFormat="1" applyFont="1" applyFill="1" applyBorder="1" applyAlignment="1">
      <x:alignment horizontal="center" vertical="top" wrapText="1"/>
    </x:xf>
    <x:xf numFmtId="200" fontId="4" fillId="5" borderId="5" xfId="0" applyNumberFormat="1" applyFont="1" applyFill="1" applyBorder="1" applyAlignment="1">
      <x:alignment horizontal="center" vertical="top" wrapText="1"/>
    </x:xf>
    <x:xf numFmtId="200" fontId="4" fillId="0" borderId="6" xfId="0" applyNumberFormat="1" applyFont="1" applyFill="1" applyBorder="1" applyAlignment="1">
      <x:alignment horizontal="center" vertical="top" wrapText="1"/>
    </x:xf>
    <x:xf numFmtId="200" fontId="4" fillId="5" borderId="6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top" wrapText="1"/>
    </x:xf>
    <x:xf numFmtId="0" fontId="9" fillId="6" borderId="5" xfId="0" applyNumberFormat="1" applyFont="1" applyFill="1" applyBorder="1" applyAlignment="1">
      <x:alignment vertical="top" wrapText="1"/>
    </x:xf>
    <x:xf numFmtId="0" fontId="9" fillId="6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77ef08bdf04f32" /><Relationship Type="http://schemas.openxmlformats.org/officeDocument/2006/relationships/theme" Target="/xl/theme/theme1.xml" Id="R4b2a98ceb8b24cf0" /><Relationship Type="http://schemas.openxmlformats.org/officeDocument/2006/relationships/sharedStrings" Target="/xl/sharedStrings.xml" Id="Rc3ce414ed3c544a1" /><Relationship Type="http://schemas.openxmlformats.org/officeDocument/2006/relationships/worksheet" Target="/xl/worksheets/sheet1.xml" Id="Rdd6581b56b844d9c" /><Relationship Type="http://schemas.openxmlformats.org/officeDocument/2006/relationships/worksheet" Target="/xl/worksheets/sheet2.xml" Id="Rb432a36317524594" /><Relationship Type="http://schemas.openxmlformats.org/officeDocument/2006/relationships/worksheet" Target="/xl/worksheets/sheet3.xml" Id="Rfeb04e913bf14f64" /><Relationship Type="http://schemas.openxmlformats.org/officeDocument/2006/relationships/worksheet" Target="/xl/worksheets/sheet4.xml" Id="Ra2d23d1ffeb14dbd" /><Relationship Type="http://schemas.openxmlformats.org/officeDocument/2006/relationships/worksheet" Target="/xl/worksheets/sheet5.xml" Id="R91970c33e1204a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3473F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24" hidden="0" customWidth="1"/>
    <x:col min="3" max="3" width="34" hidden="0" customWidth="1"/>
    <x:col min="4" max="4" width="34" hidden="0" customWidth="1"/>
    <x:col min="5" max="5" width="36" hidden="0" customWidth="1"/>
    <x:col min="6" max="6" width="38" hidden="0" customWidth="1"/>
    <x:col min="7" max="7" width="38" hidden="0" customWidth="1"/>
    <x:col min="8" max="8" width="38" hidden="0" customWidth="1"/>
    <x:col min="9" max="9" width="38" hidden="0" customWidth="1"/>
    <x:col min="10" max="10" width="33" hidden="0" customWidth="1"/>
    <x:col min="11" max="11" width="10" hidden="0" customWidth="1"/>
  </x:cols>
  <x:sheetData>
    <x:row r="1">
      <x:c r="A1" s="31"/>
      <x:c r="B1" s="31"/>
      <x:c r="C1" s="31"/>
      <x:c r="D1" s="31"/>
      <x:c r="E1" s="31"/>
      <x:c r="F1" s="31"/>
      <x:c r="G1" s="31"/>
      <x:c r="H1" s="31"/>
      <x:c r="I1" s="31"/>
      <x:c r="J1" s="31"/>
      <x:c r="K1" s="31"/>
    </x:row>
    <x:row r="2" ht="28" customHeight="1">
      <x:c r="A2" s="1" t="str">
        <x:v>产品序列任职资格能力标准（2026 重构版）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</x:row>
    <x:row r="3" ht="24" customHeight="1">
      <x:c r="A3" s="2" t="str">
        <x:v>适用于通用产品岗位。AI 产品责任见“AI产品专项”；职级依据责任与证据，不以学历或年限直接判定。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</x:row>
    <x:row r="5">
      <x:c r="A5" s="31"/>
      <x:c r="B5" s="31"/>
      <x:c r="C5" s="31"/>
      <x:c r="D5" s="31"/>
      <x:c r="E5" s="31"/>
      <x:c r="F5" s="31"/>
      <x:c r="G5" s="31"/>
      <x:c r="H5" s="31"/>
      <x:c r="I5" s="31"/>
      <x:c r="J5" s="31"/>
      <x:c r="K5" s="31"/>
    </x:row>
    <x:row r="6" ht="34" customHeight="1">
      <x:c r="A6" s="15" t="str">
        <x:v>能力域</x:v>
      </x:c>
      <x:c r="B6" s="16" t="str">
        <x:v>评价重点</x:v>
      </x:c>
      <x:c r="C6" s="16" t="str">
        <x:v>IC1 初做者</x:v>
      </x:c>
      <x:c r="D6" s="16" t="str">
        <x:v>IC2 独立工作者</x:v>
      </x:c>
      <x:c r="E6" s="16" t="str">
        <x:v>IC3 骨干</x:v>
      </x:c>
      <x:c r="F6" s="16" t="str">
        <x:v>IC4 初级专家</x:v>
      </x:c>
      <x:c r="G6" s="16" t="str">
        <x:v>IC5 中级专家</x:v>
      </x:c>
      <x:c r="H6" s="16" t="str">
        <x:v>IC6 高级专家</x:v>
      </x:c>
      <x:c r="I6" s="16" t="str">
        <x:v>IC7 权威</x:v>
      </x:c>
      <x:c r="J6" s="16" t="str">
        <x:v>证据示例</x:v>
      </x:c>
      <x:c r="K6" s="17" t="str">
        <x:v>门槛</x:v>
      </x:c>
    </x:row>
    <x:row r="7" ht="108" customHeight="1">
      <x:c r="A7" s="27" t="str">
        <x:v>1. 责任范围与贡献</x:v>
      </x:c>
      <x:c r="B7" s="23" t="str">
        <x:v>独立性、复杂度、影响半径</x:v>
      </x:c>
      <x:c r="C7" s="23" t="str">
        <x:v>在指导下完成边界清晰的功能或分析任务，对个人交付负责。</x:v>
      </x:c>
      <x:c r="D7" s="23" t="str">
        <x:v>独立负责一个功能或小型模块，完成发现、设计、上线和复盘。</x:v>
      </x:c>
      <x:c r="E7" s="23" t="str">
        <x:v>负责完整产品或复杂模块，对持续用户和业务结果负责。</x:v>
      </x:c>
      <x:c r="F7" s="23" t="str">
        <x:v>负责产品族、平台或多个团队共同结果，解决高模糊、高依赖问题。</x:v>
      </x:c>
      <x:c r="G7" s="23" t="str">
        <x:v>负责事业部产品组合，配置资源，建立产品机制和人才梯队。</x:v>
      </x:c>
      <x:c r="H7" s="23" t="str">
        <x:v>定义公司级产品体系、投资方向和专业标准，影响公司关键决策。</x:v>
      </x:c>
      <x:c r="I7" s="23" t="str">
        <x:v>推动行业级产品范式、生态或标准，形成可验证的外部影响。</x:v>
      </x:c>
      <x:c r="J7" s="23" t="str">
        <x:v>责任书、决策权限、团队/预算范围、跨团队依赖</x:v>
      </x:c>
      <x:c r="K7" s="29" t="str">
        <x:v>是</x:v>
      </x:c>
    </x:row>
    <x:row r="8" ht="108" customHeight="1">
      <x:c r="A8" s="28" t="str">
        <x:v>2. 用户与问题发现</x:v>
      </x:c>
      <x:c r="B8" s="24" t="str">
        <x:v>需求真实性、用户结果、弱势用户</x:v>
      </x:c>
      <x:c r="C8" s="24" t="str">
        <x:v>参与访谈和反馈整理，能区分用户问题与方案诉求。</x:v>
      </x:c>
      <x:c r="D8" s="24" t="str">
        <x:v>独立完成定性与定量验证，识别主用户、场景和优先问题。</x:v>
      </x:c>
      <x:c r="E8" s="24" t="str">
        <x:v>发现跨场景的结构性需求，以用户结果而非功能请求排序。</x:v>
      </x:c>
      <x:c r="F8" s="24" t="str">
        <x:v>建立多个产品的持续洞察机制，处理冲突用户和长期影响。</x:v>
      </x:c>
      <x:c r="G8" s="24" t="str">
        <x:v>把客户结果纳入产品组合与资源配置，纠正局部指标驱动。</x:v>
      </x:c>
      <x:c r="H8" s="24" t="str">
        <x:v>定义公司级客户价值原则、研究机制与关键用户结果。</x:v>
      </x:c>
      <x:c r="I8" s="24" t="str">
        <x:v>推动行业形成更好的客户价值和服务责任标准。</x:v>
      </x:c>
      <x:c r="J8" s="24" t="str">
        <x:v>研究原始记录、行为数据、投诉、可用性和长期结果</x:v>
      </x:c>
      <x:c r="K8" s="30" t="str">
        <x:v>是</x:v>
      </x:c>
    </x:row>
    <x:row r="9" ht="108" customHeight="1">
      <x:c r="A9" s="28" t="str">
        <x:v>3. 战略与商业价值</x:v>
      </x:c>
      <x:c r="B9" s="24" t="str">
        <x:v>定位、取舍、商业模型、停止纪律</x:v>
      </x:c>
      <x:c r="C9" s="24" t="str">
        <x:v>理解产品目标、目标客群与基础价值主张。</x:v>
      </x:c>
      <x:c r="D9" s="24" t="str">
        <x:v>把路线图连接到明确用户和业务结果，能说明取舍依据。</x:v>
      </x:c>
      <x:c r="E9" s="24" t="str">
        <x:v>制定产品策略和 business case，验证差异化、成本与单位经济。</x:v>
      </x:c>
      <x:c r="F9" s="24" t="str">
        <x:v>在多团队和多约束下制定产品族策略，决定继续、转向或停止。</x:v>
      </x:c>
      <x:c r="G9" s="24" t="str">
        <x:v>管理产品组合与商业闭环，平衡短期结果和长期能力投资。</x:v>
      </x:c>
      <x:c r="H9" s="24" t="str">
        <x:v>定义公司级产品战略、资源下注和退出机制，承担核心经营目标。</x:v>
      </x:c>
      <x:c r="I9" s="24" t="str">
        <x:v>影响行业商业模式、生态结构和公司长期位置。</x:v>
      </x:c>
      <x:c r="J9" s="24" t="str">
        <x:v>策略文档、基线、单位经济、资源取舍、停止项目记录</x:v>
      </x:c>
      <x:c r="K9" s="30" t="str">
        <x:v>是</x:v>
      </x:c>
    </x:row>
    <x:row r="10" ht="108" customHeight="1">
      <x:c r="A10" s="28" t="str">
        <x:v>4. 产品设计与生命周期</x:v>
      </x:c>
      <x:c r="B10" s="24" t="str">
        <x:v>发现、规划、交付、运营、退市</x:v>
      </x:c>
      <x:c r="C10" s="24" t="str">
        <x:v>按规范完成用户故事、流程、验收条件和基础文档。</x:v>
      </x:c>
      <x:c r="D10" s="24" t="str">
        <x:v>独立完成小产品全生命周期，覆盖异常、权限和运营反馈。</x:v>
      </x:c>
      <x:c r="E10" s="24" t="str">
        <x:v>设计复杂产品系统，处理多角色、多状态、上下游和迁移。</x:v>
      </x:c>
      <x:c r="F10" s="24" t="str">
        <x:v>统筹多产品节奏、依赖与平台复用，确保全链路一致。</x:v>
      </x:c>
      <x:c r="G10" s="24" t="str">
        <x:v>建立产品组合治理、复用和退市机制，提升组织交付质量。</x:v>
      </x:c>
      <x:c r="H10" s="24" t="str">
        <x:v>定义公司级产品操作系统和产品生产方式。</x:v>
      </x:c>
      <x:c r="I10" s="24" t="str">
        <x:v>形成被行业采用的方法、标准或基础设施。</x:v>
      </x:c>
      <x:c r="J10" s="24" t="str">
        <x:v>服务蓝图、路线图、状态与异常设计、退市复盘</x:v>
      </x:c>
      <x:c r="K10" s="30" t="str">
        <x:v>是</x:v>
      </x:c>
    </x:row>
    <x:row r="11" ht="108" customHeight="1">
      <x:c r="A11" s="28" t="str">
        <x:v>5. 数据、实验与结果</x:v>
      </x:c>
      <x:c r="B11" s="24" t="str">
        <x:v>口径、基线、因果边界、持续改善</x:v>
      </x:c>
      <x:c r="C11" s="24" t="str">
        <x:v>理解核心指标及其口径，在指导下完成基础分析。</x:v>
      </x:c>
      <x:c r="D11" s="24" t="str">
        <x:v>独立建立基线、漏斗和上线监控，能解释相关性与因果差异。</x:v>
      </x:c>
      <x:c r="E11" s="24" t="str">
        <x:v>设计实验和分群分析，连接产品动作、用户结果和商业结果。</x:v>
      </x:c>
      <x:c r="F11" s="24" t="str">
        <x:v>建立跨产品指标体系，识别指标博弈、滞后风险和单位经济。</x:v>
      </x:c>
      <x:c r="G11" s="24" t="str">
        <x:v>用组合结果配置资源，推动数据能力和实验机制复用。</x:v>
      </x:c>
      <x:c r="H11" s="24" t="str">
        <x:v>定义公司级结果管理、数据责任和投资评估框架。</x:v>
      </x:c>
      <x:c r="I11" s="24" t="str">
        <x:v>推动行业形成更可靠的衡量标准和公开方法。</x:v>
      </x:c>
      <x:c r="J11" s="24" t="str">
        <x:v>指标定义、查询/看板、实验方案、复盘与反例</x:v>
      </x:c>
      <x:c r="K11" s="30" t="str">
        <x:v>是</x:v>
      </x:c>
    </x:row>
    <x:row r="12" ht="108" customHeight="1">
      <x:c r="A12" s="28" t="str">
        <x:v>6. 交付与跨职能协同</x:v>
      </x:c>
      <x:c r="B12" s="24" t="str">
        <x:v>决策、依赖、风险、质量</x:v>
      </x:c>
      <x:c r="C12" s="24" t="str">
        <x:v>透明跟踪任务，及时报告阻塞和变化。</x:v>
      </x:c>
      <x:c r="D12" s="24" t="str">
        <x:v>独立驱动产品、设计、研发、测试和运营完成小型闭环。</x:v>
      </x:c>
      <x:c r="E12" s="24" t="str">
        <x:v>处理关键依赖、冲突和重大变更，保证质量而非只保证日期。</x:v>
      </x:c>
      <x:c r="F12" s="24" t="str">
        <x:v>重构跨团队协作和决策机制，降低系统性等待与返工。</x:v>
      </x:c>
      <x:c r="G12" s="24" t="str">
        <x:v>建立事业部产品运营机制，提升组织速度、质量和可预测性。</x:v>
      </x:c>
      <x:c r="H12" s="24" t="str">
        <x:v>设计公司级协作、治理和资源配置机制。</x:v>
      </x:c>
      <x:c r="I12" s="24" t="str">
        <x:v>协调行业生态完成高复杂度共同建设。</x:v>
      </x:c>
      <x:c r="J12" s="24" t="str">
        <x:v>决策日志、里程碑、风险清单、质量与返工数据</x:v>
      </x:c>
      <x:c r="K12" s="30" t="str">
        <x:v>否</x:v>
      </x:c>
    </x:row>
    <x:row r="13" ht="108" customHeight="1">
      <x:c r="A13" s="28" t="str">
        <x:v>7. 技术与系统理解</x:v>
      </x:c>
      <x:c r="B13" s="24" t="str">
        <x:v>架构、接口、可靠性、成本、安全</x:v>
      </x:c>
      <x:c r="C13" s="24" t="str">
        <x:v>理解主要系统、数据对象和技术边界。</x:v>
      </x:c>
      <x:c r="D13" s="24" t="str">
        <x:v>能与工程讨论接口、依赖、异常、性能和实现取舍。</x:v>
      </x:c>
      <x:c r="E13" s="24" t="str">
        <x:v>推动产品与架构共同取舍，识别技术债、容量和安全风险。</x:v>
      </x:c>
      <x:c r="F13" s="24" t="str">
        <x:v>规划平台能力、复用边界和技术投资，处理复杂系统演进。</x:v>
      </x:c>
      <x:c r="G13" s="24" t="str">
        <x:v>制定事业部技术产品组合和 Build/Buy/Partner 策略。</x:v>
      </x:c>
      <x:c r="H13" s="24" t="str">
        <x:v>影响公司技术能力布局、平台战略和关键架构决策。</x:v>
      </x:c>
      <x:c r="I13" s="24" t="str">
        <x:v>影响行业技术产品标准或关键基础设施。</x:v>
      </x:c>
      <x:c r="J13" s="24" t="str">
        <x:v>架构图、接口契约、SLA、成本、技术债与安全评审</x:v>
      </x:c>
      <x:c r="K13" s="30" t="str">
        <x:v>否</x:v>
      </x:c>
    </x:row>
    <x:row r="14" ht="108" customHeight="1">
      <x:c r="A14" s="28" t="str">
        <x:v>8. 金融业务与领域知识</x:v>
      </x:c>
      <x:c r="B14" s="24" t="str">
        <x:v>客户、产品、交易、投研、服务链路</x:v>
      </x:c>
      <x:c r="C14" s="24" t="str">
        <x:v>了解基金与基础交易流程，知道何时寻求专业支持。</x:v>
      </x:c>
      <x:c r="D14" s="24" t="str">
        <x:v>掌握负责领域规则、资金时效、客户路径和关键数据对象。</x:v>
      </x:c>
      <x:c r="E14" s="24" t="str">
        <x:v>理解投研、交易、账户、顾问服务和运营上下游，能完成端到端设计。</x:v>
      </x:c>
      <x:c r="F14" s="24" t="str">
        <x:v>解决跨域业务问题，把专业规则转化为产品控制和服务机制。</x:v>
      </x:c>
      <x:c r="G14" s="24" t="str">
        <x:v>规划事业部业务能力与产品组合，推动专业能力平台化。</x:v>
      </x:c>
      <x:c r="H14" s="24" t="str">
        <x:v>影响公司业务模式、领域能力和长期竞争优势。</x:v>
      </x:c>
      <x:c r="I14" s="24" t="str">
        <x:v>形成行业级金融产品与服务创新实践。</x:v>
      </x:c>
      <x:c r="J14" s="24" t="str">
        <x:v>资格/培训、业务流程、规则测试、异常案例与客户结果</x:v>
      </x:c>
      <x:c r="K14" s="30" t="str">
        <x:v>按岗位</x:v>
      </x:c>
    </x:row>
    <x:row r="15" ht="108" customHeight="1">
      <x:c r="A15" s="28" t="str">
        <x:v>9. 风险、合规与伦理</x:v>
      </x:c>
      <x:c r="B15" s="24" t="str">
        <x:v>消费者保护、数据、模型、审计、事件</x:v>
      </x:c>
      <x:c r="C15" s="24" t="str">
        <x:v>识别明显风险并及时升级，不绕过控制。</x:v>
      </x:c>
      <x:c r="D15" s="24" t="str">
        <x:v>把权限、留痕、披露、数据和人工复核落实到产品。</x:v>
      </x:c>
      <x:c r="E15" s="24" t="str">
        <x:v>对复杂产品完成风险分级、控制设计、上线门禁和持续监控。</x:v>
      </x:c>
      <x:c r="F15" s="24" t="str">
        <x:v>处理高风险跨产品问题，建立验证、事件响应和第三方控制。</x:v>
      </x:c>
      <x:c r="G15" s="24" t="str">
        <x:v>设定事业部风险机制，确保增长、效率不能抵销重大风险。</x:v>
      </x:c>
      <x:c r="H15" s="24" t="str">
        <x:v>参与公司风险偏好和重大产品 go/no-go 决策，承担问责。</x:v>
      </x:c>
      <x:c r="I15" s="24" t="str">
        <x:v>推动行业客户保护、伦理和治理标准进步。</x:v>
      </x:c>
      <x:c r="J15" s="24" t="str">
        <x:v>风险评估、合规意见、审批、审计日志、事件复盘</x:v>
      </x:c>
      <x:c r="K15" s="30" t="str">
        <x:v>是</x:v>
      </x:c>
    </x:row>
    <x:row r="16" ht="108" customHeight="1">
      <x:c r="A16" s="28" t="str">
        <x:v>10. 领导力与专业影响</x:v>
      </x:c>
      <x:c r="B16" s="24" t="str">
        <x:v>判断、写作、辅导、机制、外部影响</x:v>
      </x:c>
      <x:c r="C16" s="24" t="str">
        <x:v>清晰表达事实、判断和不确定性，主动接受反馈。</x:v>
      </x:c>
      <x:c r="D16" s="24" t="str">
        <x:v>通过证据影响小组决策，分享可复用方法。</x:v>
      </x:c>
      <x:c r="E16" s="24" t="str">
        <x:v>辅导初级同事，影响关键干系人，能推动艰难取舍。</x:v>
      </x:c>
      <x:c r="F16" s="24" t="str">
        <x:v>指导多团队和骨干，建立专业标准；不以带人为晋级前提。</x:v>
      </x:c>
      <x:c r="G16" s="24" t="str">
        <x:v>培养专家和管理者，建立人才梯队、评审机制和专业社区。</x:v>
      </x:c>
      <x:c r="H16" s="24" t="str">
        <x:v>代表产品专业影响公司高层决策和组织能力。</x:v>
      </x:c>
      <x:c r="I16" s="24" t="str">
        <x:v>代表公司输出行业观点、标准和生态影响。</x:v>
      </x:c>
      <x:c r="J16" s="24" t="str">
        <x:v>决策 memo、辅导结果、复用范围、机制持续性</x:v>
      </x:c>
      <x:c r="K16" s="30" t="str">
        <x:v>否</x:v>
      </x:c>
    </x:row>
    <x:row r="17" ht="108" customHeight="1">
      <x:c r="A17" s="28" t="str">
        <x:v>11. 全员 AI 应用能力</x:v>
      </x:c>
      <x:c r="B17" s="24" t="str">
        <x:v>个人提效、验证、工作重构、责任边界</x:v>
      </x:c>
      <x:c r="C17" s="24" t="str">
        <x:v>使用指定 AI 工具完成整理、初稿和测试辅助；核验结果。</x:v>
      </x:c>
      <x:c r="D17" s="24" t="str">
        <x:v>用结构化任务、上下文和约束稳定提升分析与交付效率。</x:v>
      </x:c>
      <x:c r="E17" s="24" t="str">
        <x:v>将 AI 融入完整产品流程，沉淀模板、检查清单或轻量工作流。</x:v>
      </x:c>
      <x:c r="F17" s="24" t="str">
        <x:v>建立项目级 AI 协作流程和质量门槛，指导团队正确使用。</x:v>
      </x:c>
      <x:c r="G17" s="24" t="str">
        <x:v>推动跨项目 AI 生产方式、资产复用和业务自助能力。</x:v>
      </x:c>
      <x:c r="H17" s="24" t="str">
        <x:v>定义公司级 AI 工作方式、质量标准、权限和培训认证。</x:v>
      </x:c>
      <x:c r="I17" s="24" t="str">
        <x:v>探索 AI 时代产品组织与行业协作范式。</x:v>
      </x:c>
      <x:c r="J17" s="24" t="str">
        <x:v>前后效率/质量对比、复用资产、失败记录、人工责任</x:v>
      </x:c>
      <x:c r="K17" s="30" t="str">
        <x:v>是</x:v>
      </x:c>
    </x:row>
  </x:sheetData>
  <x:mergeCells>
    <x:mergeCell ref="A2:K2"/>
    <x:mergeCell ref="A3:K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D638F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25" hidden="0" customWidth="1"/>
    <x:col min="3" max="3" width="34" hidden="0" customWidth="1"/>
    <x:col min="4" max="4" width="34" hidden="0" customWidth="1"/>
    <x:col min="5" max="5" width="38" hidden="0" customWidth="1"/>
    <x:col min="6" max="6" width="40" hidden="0" customWidth="1"/>
    <x:col min="7" max="7" width="40" hidden="0" customWidth="1"/>
    <x:col min="8" max="8" width="40" hidden="0" customWidth="1"/>
    <x:col min="9" max="9" width="40" hidden="0" customWidth="1"/>
    <x:col min="10" max="10" width="34" hidden="0" customWidth="1"/>
    <x:col min="11" max="11" width="10" hidden="0" customWidth="1"/>
  </x:cols>
  <x:sheetData>
    <x:row r="1">
      <x:c r="A1" s="31"/>
      <x:c r="B1" s="31"/>
      <x:c r="C1" s="31"/>
      <x:c r="D1" s="31"/>
      <x:c r="E1" s="31"/>
      <x:c r="F1" s="31"/>
      <x:c r="G1" s="31"/>
      <x:c r="H1" s="31"/>
      <x:c r="I1" s="31"/>
      <x:c r="J1" s="31"/>
      <x:c r="K1" s="31"/>
    </x:row>
    <x:row r="2" ht="28" customHeight="1">
      <x:c r="A2" s="1" t="str">
        <x:v>AI 产品岗位专项任职标准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</x:row>
    <x:row r="3" ht="24" customHeight="1">
      <x:c r="A3" s="2" t="str">
        <x:v>仅适用于对 AI 产品结果承担责任的岗位。全员使用 AI 的要求仍在“产品职级标准”，两者不可混为一谈。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</x:row>
    <x:row r="5">
      <x:c r="A5" s="31"/>
      <x:c r="B5" s="31"/>
      <x:c r="C5" s="31"/>
      <x:c r="D5" s="31"/>
      <x:c r="E5" s="31"/>
      <x:c r="F5" s="31"/>
      <x:c r="G5" s="31"/>
      <x:c r="H5" s="31"/>
      <x:c r="I5" s="31"/>
      <x:c r="J5" s="31"/>
      <x:c r="K5" s="31"/>
    </x:row>
    <x:row r="6" ht="34" customHeight="1">
      <x:c r="A6" s="15" t="str">
        <x:v>专项能力</x:v>
      </x:c>
      <x:c r="B6" s="16" t="str">
        <x:v>评价重点</x:v>
      </x:c>
      <x:c r="C6" s="16" t="str">
        <x:v>IC1</x:v>
      </x:c>
      <x:c r="D6" s="16" t="str">
        <x:v>IC2</x:v>
      </x:c>
      <x:c r="E6" s="16" t="str">
        <x:v>IC3</x:v>
      </x:c>
      <x:c r="F6" s="16" t="str">
        <x:v>IC4</x:v>
      </x:c>
      <x:c r="G6" s="16" t="str">
        <x:v>IC5</x:v>
      </x:c>
      <x:c r="H6" s="16" t="str">
        <x:v>IC6</x:v>
      </x:c>
      <x:c r="I6" s="16" t="str">
        <x:v>IC7</x:v>
      </x:c>
      <x:c r="J6" s="16" t="str">
        <x:v>必要证据</x:v>
      </x:c>
      <x:c r="K6" s="17" t="str">
        <x:v>门槛</x:v>
      </x:c>
    </x:row>
    <x:row r="7" ht="116" customHeight="1">
      <x:c r="A7" s="35" t="str">
        <x:v>1. 场景判断与非 AI 基线</x:v>
      </x:c>
      <x:c r="B7" s="23" t="str">
        <x:v>为何使用 AI、失败成本、替代方案</x:v>
      </x:c>
      <x:c r="C7" s="23" t="str">
        <x:v>理解 AI 并非默认方案，按要求比较基础流程。</x:v>
      </x:c>
      <x:c r="D7" s="23" t="str">
        <x:v>能比较规则、搜索、人工和 AI 的成本与效果。</x:v>
      </x:c>
      <x:c r="E7" s="23" t="str">
        <x:v>独立确认 AI 适用性、目标用户、任务边界和停止条件。</x:v>
      </x:c>
      <x:c r="F7" s="23" t="str">
        <x:v>处理多场景与高不确定性，决定自动化、增强或人工服务边界。</x:v>
      </x:c>
      <x:c r="G7" s="23" t="str">
        <x:v>规划事业部 AI 产品组合和投资优先级。</x:v>
      </x:c>
      <x:c r="H7" s="23" t="str">
        <x:v>定义公司级 AI 场景准入和退出框架。</x:v>
      </x:c>
      <x:c r="I7" s="23" t="str">
        <x:v>影响行业 AI 产品价值判断与责任边界。</x:v>
      </x:c>
      <x:c r="J7" s="23" t="str">
        <x:v>非 AI 基线、试点结果、失败成本、停止记录</x:v>
      </x:c>
      <x:c r="K7" s="29" t="str">
        <x:v>是</x:v>
      </x:c>
    </x:row>
    <x:row r="8" ht="116" customHeight="1">
      <x:c r="A8" s="36" t="str">
        <x:v>2. 模型、RAG 与 Agent 系统</x:v>
      </x:c>
      <x:c r="B8" s="24" t="str">
        <x:v>能力边界、编排、工具、Memory、多模态</x:v>
      </x:c>
      <x:c r="C8" s="24" t="str">
        <x:v>理解模型输出非确定性及基础概念。</x:v>
      </x:c>
      <x:c r="D8" s="24" t="str">
        <x:v>能描述模型、知识、工具和产品体验的基本关系。</x:v>
      </x:c>
      <x:c r="E8" s="24" t="str">
        <x:v>设计可落地的 RAG/Agent 任务链，定位模型、数据、工具或 UX 问题。</x:v>
      </x:c>
      <x:c r="F8" s="24" t="str">
        <x:v>主导复杂工作流、多 Agent、人机协作、权限和异常处理。</x:v>
      </x:c>
      <x:c r="G8" s="24" t="str">
        <x:v>规划模型网关、知识、工具、Agent runtime 等复用能力。</x:v>
      </x:c>
      <x:c r="H8" s="24" t="str">
        <x:v>定义公司级 AI 架构、Build/Buy/Partner 和供应商策略。</x:v>
      </x:c>
      <x:c r="I8" s="24" t="str">
        <x:v>影响行业 AI 基础设施与生态模式。</x:v>
      </x:c>
      <x:c r="J8" s="24" t="str">
        <x:v>系统图、任务链、模型/供应商对比、故障归因</x:v>
      </x:c>
      <x:c r="K8" s="30" t="str">
        <x:v>按岗位</x:v>
      </x:c>
    </x:row>
    <x:row r="9" ht="116" customHeight="1">
      <x:c r="A9" s="36" t="str">
        <x:v>3. 数据、知识与来源</x:v>
      </x:c>
      <x:c r="B9" s="24" t="str">
        <x:v>许可、质量、更新、血缘、反馈</x:v>
      </x:c>
      <x:c r="C9" s="24" t="str">
        <x:v>按规则处理数据，不将敏感信息输入未批准工具。</x:v>
      </x:c>
      <x:c r="D9" s="24" t="str">
        <x:v>识别上下文缺失、来源不明和权限风险。</x:v>
      </x:c>
      <x:c r="E9" s="24" t="str">
        <x:v>设计知识更新、检索、引用、反馈和数据质量机制。</x:v>
      </x:c>
      <x:c r="F9" s="24" t="str">
        <x:v>处理多源数据、分级权限、血缘、漂移和错误上下文。</x:v>
      </x:c>
      <x:c r="G9" s="24" t="str">
        <x:v>建设可复用的数据/知识产品和治理机制。</x:v>
      </x:c>
      <x:c r="H9" s="24" t="str">
        <x:v>定义公司级数据使用、反馈闭环和供应商边界。</x:v>
      </x:c>
      <x:c r="I9" s="24" t="str">
        <x:v>影响行业数据责任与可追溯标准。</x:v>
      </x:c>
      <x:c r="J9" s="24" t="str">
        <x:v>数据清单、授权、血缘、更新 SLA、引用与反馈记录</x:v>
      </x:c>
      <x:c r="K9" s="30" t="str">
        <x:v>是</x:v>
      </x:c>
    </x:row>
    <x:row r="10" ht="116" customHeight="1">
      <x:c r="A10" s="36" t="str">
        <x:v>4. Evals 与质量工程</x:v>
      </x:c>
      <x:c r="B10" s="24" t="str">
        <x:v>任务集、分群、阈值、回归、在线结果</x:v>
      </x:c>
      <x:c r="C10" s="24" t="str">
        <x:v>执行既定测试并记录失败案例。</x:v>
      </x:c>
      <x:c r="D10" s="24" t="str">
        <x:v>能定义基础准确率、任务完成率和人工抽检。</x:v>
      </x:c>
      <x:c r="E10" s="24" t="str">
        <x:v>建立任务集、黄金集、rubric、分群和上线阈值。</x:v>
      </x:c>
      <x:c r="F10" s="24" t="str">
        <x:v>覆盖离线评测、A/B、在线反馈、回归和红队，能做 go/no-go 建议。</x:v>
      </x:c>
      <x:c r="G10" s="24" t="str">
        <x:v>建设跨场景评测平台、质量标准和模型路由机制。</x:v>
      </x:c>
      <x:c r="H10" s="24" t="str">
        <x:v>定义公司级评测制度、独立复核和重大版本发布门禁。</x:v>
      </x:c>
      <x:c r="I10" s="24" t="str">
        <x:v>推动行业形成可复现、可比较的 AI 评测标准。</x:v>
      </x:c>
      <x:c r="J10" s="24" t="str">
        <x:v>评测集、样本分布、分群结果、阈值、回归和失败库</x:v>
      </x:c>
      <x:c r="K10" s="30" t="str">
        <x:v>是</x:v>
      </x:c>
    </x:row>
    <x:row r="11" ht="116" customHeight="1">
      <x:c r="A11" s="36" t="str">
        <x:v>5. 不确定性交互与人机协作</x:v>
      </x:c>
      <x:c r="B11" s="24" t="str">
        <x:v>引用、澄清、拒答、HITL、接管</x:v>
      </x:c>
      <x:c r="C11" s="24" t="str">
        <x:v>理解 AI 结果需要人工判断。</x:v>
      </x:c>
      <x:c r="D11" s="24" t="str">
        <x:v>为低风险场景设计确认、修改和反馈入口。</x:v>
      </x:c>
      <x:c r="E11" s="24" t="str">
        <x:v>设计引用、置信表达、澄清、拒答、回退和转人工。</x:v>
      </x:c>
      <x:c r="F11" s="24" t="str">
        <x:v>在高后果任务中定义人工审批、责任人、可接管和升级路径。</x:v>
      </x:c>
      <x:c r="G11" s="24" t="str">
        <x:v>形成多产品人机协作模式和体验标准。</x:v>
      </x:c>
      <x:c r="H11" s="24" t="str">
        <x:v>定义公司级人工责任、授权和关键决策原则。</x:v>
      </x:c>
      <x:c r="I11" s="24" t="str">
        <x:v>影响行业高后果 AI 的人类问责标准。</x:v>
      </x:c>
      <x:c r="J11" s="24" t="str">
        <x:v>服务蓝图、错误路径、HITL 记录、转人工与纠错数据</x:v>
      </x:c>
      <x:c r="K11" s="30" t="str">
        <x:v>是</x:v>
      </x:c>
    </x:row>
    <x:row r="12" ht="116" customHeight="1">
      <x:c r="A12" s="36" t="str">
        <x:v>6. 可靠性、延迟与成本</x:v>
      </x:c>
      <x:c r="B12" s="24" t="str">
        <x:v>任务成功、SLA、容量、降级、单位经济</x:v>
      </x:c>
      <x:c r="C12" s="24" t="str">
        <x:v>了解可用性、速度和成本会影响体验。</x:v>
      </x:c>
      <x:c r="D12" s="24" t="str">
        <x:v>跟踪基础成功率、延迟、成本和失败类型。</x:v>
      </x:c>
      <x:c r="E12" s="24" t="str">
        <x:v>平衡质量、p95 延迟、吞吐、推理成本和降级方案。</x:v>
      </x:c>
      <x:c r="F12" s="24" t="str">
        <x:v>建立可观测性、容量、SLA、预算和重大故障机制。</x:v>
      </x:c>
      <x:c r="G12" s="24" t="str">
        <x:v>优化跨产品模型路由、平台成本和服务等级。</x:v>
      </x:c>
      <x:c r="H12" s="24" t="str">
        <x:v>定义公司 AI 容量、韧性和经济性策略。</x:v>
      </x:c>
      <x:c r="I12" s="24" t="str">
        <x:v>推动行业可靠性或成本效率显著提升。</x:v>
      </x:c>
      <x:c r="J12" s="24" t="str">
        <x:v>任务成功率、p95、成本/任务、SLA、降级演练</x:v>
      </x:c>
      <x:c r="K12" s="30" t="str">
        <x:v>是</x:v>
      </x:c>
    </x:row>
    <x:row r="13" ht="116" customHeight="1">
      <x:c r="A13" s="36" t="str">
        <x:v>7. 安全、隐私、公平与模型风险</x:v>
      </x:c>
      <x:c r="B13" s="24" t="str">
        <x:v>攻击、泄露、偏见、滥用、验证、事件</x:v>
      </x:c>
      <x:c r="C13" s="24" t="str">
        <x:v>遵守数据与工具使用规则，报告异常。</x:v>
      </x:c>
      <x:c r="D13" s="24" t="str">
        <x:v>识别提示注入、越权、泄露、偏见和滥用。</x:v>
      </x:c>
      <x:c r="E13" s="24" t="str">
        <x:v>设计权限、内容安全、隐私、基础红队和事件处理。</x:v>
      </x:c>
      <x:c r="F13" s="24" t="str">
        <x:v>完成风险分级、独立验证、压力测试、供应商和审计设计。</x:v>
      </x:c>
      <x:c r="G13" s="24" t="str">
        <x:v>建立事业部安全治理、模型库存、变更和事件机制。</x:v>
      </x:c>
      <x:c r="H13" s="24" t="str">
        <x:v>参与公司风险偏好与重大 AI 发布决策。</x:v>
      </x:c>
      <x:c r="I13" s="24" t="str">
        <x:v>推动行业可信 AI 和金融模型治理标准。</x:v>
      </x:c>
      <x:c r="J13" s="24" t="str">
        <x:v>威胁模型、红队、验证、审批、模型清单、事件复盘</x:v>
      </x:c>
      <x:c r="K13" s="30" t="str">
        <x:v>是</x:v>
      </x:c>
    </x:row>
    <x:row r="14" ht="116" customHeight="1">
      <x:c r="A14" s="36" t="str">
        <x:v>8. AI 原型与技术对话</x:v>
      </x:c>
      <x:c r="B14" s="24" t="str">
        <x:v>实测、技术取舍、研发研究协作</x:v>
      </x:c>
      <x:c r="C14" s="24" t="str">
        <x:v>能使用批准工具制作简单验证材料。</x:v>
      </x:c>
      <x:c r="D14" s="24" t="str">
        <x:v>用 API/低代码完成低风险原型并说明局限。</x:v>
      </x:c>
      <x:c r="E14" s="24" t="str">
        <x:v>独立构建可验证原型，以数据与工程讨论技术方案。</x:v>
      </x:c>
      <x:c r="F14" s="24" t="str">
        <x:v>牵引研究、工程、数据和设计完成复杂技术取舍。</x:v>
      </x:c>
      <x:c r="G14" s="24" t="str">
        <x:v>建立原型到生产、研究到产品的组织机制。</x:v>
      </x:c>
      <x:c r="H14" s="24" t="str">
        <x:v>定义公司 AI 研发协作和能力投资模式。</x:v>
      </x:c>
      <x:c r="I14" s="24" t="str">
        <x:v>推动行业研究成果产品化。</x:v>
      </x:c>
      <x:c r="J14" s="24" t="str">
        <x:v>原型、实验记录、技术决策、生产差距清单</x:v>
      </x:c>
      <x:c r="K14" s="30" t="str">
        <x:v>否</x:v>
      </x:c>
    </x:row>
    <x:row r="15" ht="116" customHeight="1">
      <x:c r="A15" s="36" t="str">
        <x:v>9. 采纳、运营与业务重构</x:v>
      </x:c>
      <x:c r="B15" s="24" t="str">
        <x:v>角色、权限、培训、价值、持续运营</x:v>
      </x:c>
      <x:c r="C15" s="24" t="str">
        <x:v>按规范使用并反馈工具问题。</x:v>
      </x:c>
      <x:c r="D15" s="24" t="str">
        <x:v>推动小范围使用，区分上线、使用与有效结果。</x:v>
      </x:c>
      <x:c r="E15" s="24" t="str">
        <x:v>设计新的人机分工、培训和采纳指标，持续运营。</x:v>
      </x:c>
      <x:c r="F15" s="24" t="str">
        <x:v>重构跨角色流程，证明效率、质量、客户和风险结果。</x:v>
      </x:c>
      <x:c r="G15" s="24" t="str">
        <x:v>推动多个业务线围绕统一 AI 底座协作和复用。</x:v>
      </x:c>
      <x:c r="H15" s="24" t="str">
        <x:v>定义公司级 AI 转型、人才与经营度量体系。</x:v>
      </x:c>
      <x:c r="I15" s="24" t="str">
        <x:v>推动行业组织和服务模式升级。</x:v>
      </x:c>
      <x:c r="J15" s="24" t="str">
        <x:v>采纳率、任务结果、流程前后对比、培训和运营记录</x:v>
      </x:c>
      <x:c r="K15" s="30" t="str">
        <x:v>否</x:v>
      </x:c>
    </x:row>
  </x:sheetData>
  <x:mergeCells>
    <x:mergeCell ref="A2:K2"/>
    <x:mergeCell ref="A3:K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17A2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25" hidden="0" customWidth="1"/>
    <x:col min="3" max="3" width="34" hidden="0" customWidth="1"/>
    <x:col min="4" max="4" width="34" hidden="0" customWidth="1"/>
    <x:col min="5" max="5" width="38" hidden="0" customWidth="1"/>
    <x:col min="6" max="6" width="40" hidden="0" customWidth="1"/>
    <x:col min="7" max="7" width="40" hidden="0" customWidth="1"/>
    <x:col min="8" max="8" width="40" hidden="0" customWidth="1"/>
    <x:col min="9" max="9" width="40" hidden="0" customWidth="1"/>
    <x:col min="10" max="10" width="34" hidden="0" customWidth="1"/>
    <x:col min="11" max="11" width="10" hidden="0" customWidth="1"/>
  </x:cols>
  <x:sheetData>
    <x:row r="1">
      <x:c r="A1" s="31"/>
      <x:c r="B1" s="31"/>
      <x:c r="C1" s="31"/>
      <x:c r="D1" s="31"/>
      <x:c r="E1" s="31"/>
      <x:c r="F1" s="31"/>
      <x:c r="G1" s="31"/>
      <x:c r="H1" s="31"/>
      <x:c r="I1" s="31"/>
      <x:c r="J1" s="31"/>
      <x:c r="K1" s="31"/>
    </x:row>
    <x:row r="2" ht="28" customHeight="1">
      <x:c r="A2" s="1" t="str">
        <x:v>视觉设计序列 AI 能力补充标准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</x:row>
    <x:row r="3" ht="24" customHeight="1">
      <x:c r="A3" s="2" t="str">
        <x:v>在现有视觉设计职级上补齐 AI 原生体验、质量、可访问性、品牌/IP 与风险责任；不替代视觉设计专业基本功。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</x:row>
    <x:row r="5">
      <x:c r="A5" s="31"/>
      <x:c r="B5" s="31"/>
      <x:c r="C5" s="31"/>
      <x:c r="D5" s="31"/>
      <x:c r="E5" s="31"/>
      <x:c r="F5" s="31"/>
      <x:c r="G5" s="31"/>
      <x:c r="H5" s="31"/>
      <x:c r="I5" s="31"/>
      <x:c r="J5" s="31"/>
      <x:c r="K5" s="31"/>
    </x:row>
    <x:row r="6" ht="34" customHeight="1">
      <x:c r="A6" s="15" t="str">
        <x:v>能力域</x:v>
      </x:c>
      <x:c r="B6" s="16" t="str">
        <x:v>评价重点</x:v>
      </x:c>
      <x:c r="C6" s="16" t="str">
        <x:v>IC1</x:v>
      </x:c>
      <x:c r="D6" s="16" t="str">
        <x:v>IC2</x:v>
      </x:c>
      <x:c r="E6" s="16" t="str">
        <x:v>IC3</x:v>
      </x:c>
      <x:c r="F6" s="16" t="str">
        <x:v>IC4</x:v>
      </x:c>
      <x:c r="G6" s="16" t="str">
        <x:v>IC5</x:v>
      </x:c>
      <x:c r="H6" s="16" t="str">
        <x:v>IC6</x:v>
      </x:c>
      <x:c r="I6" s="16" t="str">
        <x:v>IC7</x:v>
      </x:c>
      <x:c r="J6" s="16" t="str">
        <x:v>必要证据</x:v>
      </x:c>
      <x:c r="K6" s="17" t="str">
        <x:v>门槛</x:v>
      </x:c>
    </x:row>
    <x:row r="7" ht="116" customHeight="1">
      <x:c r="A7" s="39" t="str">
        <x:v>1. AI 工具与生产效率</x:v>
      </x:c>
      <x:c r="B7" s="23" t="str">
        <x:v>素材、文案、布局、检查、交付</x:v>
      </x:c>
      <x:c r="C7" s="23" t="str">
        <x:v>在指导下用批准工具生成参考和初稿，能筛选修改。</x:v>
      </x:c>
      <x:c r="D7" s="23" t="str">
        <x:v>独立选择工具，提高常规设计效率，保留人工判断。</x:v>
      </x:c>
      <x:c r="E7" s="23" t="str">
        <x:v>将 AI 融入模块级完整流程，沉淀模板和检查清单。</x:v>
      </x:c>
      <x:c r="F7" s="23" t="str">
        <x:v>建立复杂项目级 AI 工作流和协作规范。</x:v>
      </x:c>
      <x:c r="G7" s="23" t="str">
        <x:v>建设跨项目工具链、资产库和 AI+人工流程。</x:v>
      </x:c>
      <x:c r="H7" s="23" t="str">
        <x:v>定义公司级应用标准、培训和能力认证。</x:v>
      </x:c>
      <x:c r="I7" s="23" t="str">
        <x:v>引领行业 AI 设计生产方式。</x:v>
      </x:c>
      <x:c r="J7" s="23" t="str">
        <x:v>前后效率与质量、返工、复用率、失败案例</x:v>
      </x:c>
      <x:c r="K7" s="29" t="str">
        <x:v>否</x:v>
      </x:c>
    </x:row>
    <x:row r="8" ht="116" customHeight="1">
      <x:c r="A8" s="40" t="str">
        <x:v>2. AI 辅助研究与方案推演</x:v>
      </x:c>
      <x:c r="B8" s="24" t="str">
        <x:v>研究质量、场景、假设、决策</x:v>
      </x:c>
      <x:c r="C8" s="24" t="str">
        <x:v>辅助整理资料，不把生成内容当用户事实。</x:v>
      </x:c>
      <x:c r="D8" s="24" t="str">
        <x:v>用 AI 做方案发散和基础检查，并核验来源。</x:v>
      </x:c>
      <x:c r="E8" s="24" t="str">
        <x:v>用于用户分析、体验推演和多方案比较，明确假设。</x:v>
      </x:c>
      <x:c r="F8" s="24" t="str">
        <x:v>处理复杂信息、多角色和高不确定性体验决策。</x:v>
      </x:c>
      <x:c r="G8" s="24" t="str">
        <x:v>形成跨项目研究与决策方法，赋能多个团队。</x:v>
      </x:c>
      <x:c r="H8" s="24" t="str">
        <x:v>定义公司级 AI 设计研究和决策质量标准。</x:v>
      </x:c>
      <x:c r="I8" s="24" t="str">
        <x:v>推动行业形成新型设计研究方法。</x:v>
      </x:c>
      <x:c r="J8" s="24" t="str">
        <x:v>原始用户证据、来源、方案比较、决策记录</x:v>
      </x:c>
      <x:c r="K8" s="30" t="str">
        <x:v>是</x:v>
      </x:c>
    </x:row>
    <x:row r="9" ht="116" customHeight="1">
      <x:c r="A9" s="40" t="str">
        <x:v>3. 生成资产、品牌与知识产权</x:v>
      </x:c>
      <x:c r="B9" s="24" t="str">
        <x:v>品牌一致性、授权、肖像、版权、可追溯</x:v>
      </x:c>
      <x:c r="C9" s="24" t="str">
        <x:v>使用批准素材和模型，按要求标记 AI 生成。</x:v>
      </x:c>
      <x:c r="D9" s="24" t="str">
        <x:v>检查明显品牌、版权、肖像和内容问题。</x:v>
      </x:c>
      <x:c r="E9" s="24" t="str">
        <x:v>为业务模块建立生成资产规范、来源与人工审核。</x:v>
      </x:c>
      <x:c r="F9" s="24" t="str">
        <x:v>处理跨渠道品牌一致性、数据授权和高风险素材。</x:v>
      </x:c>
      <x:c r="G9" s="24" t="str">
        <x:v>建设品牌资产模型、模板、权限和质量机制。</x:v>
      </x:c>
      <x:c r="H9" s="24" t="str">
        <x:v>定义公司级生成内容、知识产权和品牌治理。</x:v>
      </x:c>
      <x:c r="I9" s="24" t="str">
        <x:v>参与行业生成内容伦理与标准建设。</x:v>
      </x:c>
      <x:c r="J9" s="24" t="str">
        <x:v>授权记录、来源、品牌检查、版本与审批</x:v>
      </x:c>
      <x:c r="K9" s="30" t="str">
        <x:v>是</x:v>
      </x:c>
    </x:row>
    <x:row r="10" ht="116" customHeight="1">
      <x:c r="A10" s="40" t="str">
        <x:v>4. AI 原生交互设计</x:v>
      </x:c>
      <x:c r="B10" s="24" t="str">
        <x:v>Agent、生成式界面、不确定性、控制感</x:v>
      </x:c>
      <x:c r="C10" s="24" t="str">
        <x:v>理解 AI 输出可能变化，保留修改与确认。</x:v>
      </x:c>
      <x:c r="D10" s="24" t="str">
        <x:v>设计加载、修改、重试、反馈和基础错误状态。</x:v>
      </x:c>
      <x:c r="E10" s="24" t="str">
        <x:v>设计引用、澄清、置信表达、拒答、回退和转人工。</x:v>
      </x:c>
      <x:c r="F10" s="24" t="str">
        <x:v>主导 Agent、多步骤任务、动态界面与可接管体验。</x:v>
      </x:c>
      <x:c r="G10" s="24" t="str">
        <x:v>形成跨产品 AI 交互模式、组件和体验原则。</x:v>
      </x:c>
      <x:c r="H10" s="24" t="str">
        <x:v>定义公司级 AI 原生体验战略和设计系统。</x:v>
      </x:c>
      <x:c r="I10" s="24" t="str">
        <x:v>引领行业 Agent、生成式界面和自适应交互范式。</x:v>
      </x:c>
      <x:c r="J10" s="24" t="str">
        <x:v>状态图、异常/回退、可用性测试、任务成功数据</x:v>
      </x:c>
      <x:c r="K10" s="30" t="str">
        <x:v>是</x:v>
      </x:c>
    </x:row>
    <x:row r="11" ht="116" customHeight="1">
      <x:c r="A11" s="40" t="str">
        <x:v>5. AI 体验评测与可访问性</x:v>
      </x:c>
      <x:c r="B11" s="24" t="str">
        <x:v>任务成功、信任校准、包容性、一致性</x:v>
      </x:c>
      <x:c r="C11" s="24" t="str">
        <x:v>按清单检查明显错误和可读性。</x:v>
      </x:c>
      <x:c r="D11" s="24" t="str">
        <x:v>完成基础可用性、视觉一致性和无障碍检查。</x:v>
      </x:c>
      <x:c r="E11" s="24" t="str">
        <x:v>定义任务成功、理解、信任、错误恢复和分群测试。</x:v>
      </x:c>
      <x:c r="F11" s="24" t="str">
        <x:v>建立人工评审 rubric、回归测试和高风险群体检查。</x:v>
      </x:c>
      <x:c r="G11" s="24" t="str">
        <x:v>建设跨产品体验评测、组件质量和可访问性机制。</x:v>
      </x:c>
      <x:c r="H11" s="24" t="str">
        <x:v>定义公司级 AI 体验质量和包容性标准。</x:v>
      </x:c>
      <x:c r="I11" s="24" t="str">
        <x:v>推动行业可信、包容 AI 体验评价标准。</x:v>
      </x:c>
      <x:c r="J11" s="24" t="str">
        <x:v>任务集、分群、无障碍结果、错误恢复与回归</x:v>
      </x:c>
      <x:c r="K11" s="30" t="str">
        <x:v>是</x:v>
      </x:c>
    </x:row>
    <x:row r="12" ht="116" customHeight="1">
      <x:c r="A12" s="40" t="str">
        <x:v>6. 设计系统与业务赋能</x:v>
      </x:c>
      <x:c r="B12" s="24" t="str">
        <x:v>组件、模板、自助、复用、治理</x:v>
      </x:c>
      <x:c r="C12" s="24" t="str">
        <x:v>正确使用既有组件和模板。</x:v>
      </x:c>
      <x:c r="D12" s="24" t="str">
        <x:v>沉淀常规模式并支持小范围复用。</x:v>
      </x:c>
      <x:c r="E12" s="24" t="str">
        <x:v>建立模块级组件、模板与轻量自助能力。</x:v>
      </x:c>
      <x:c r="F12" s="24" t="str">
        <x:v>把经验转化为业务团队可用的 AI 化方案。</x:v>
      </x:c>
      <x:c r="G12" s="24" t="str">
        <x:v>将标准化设计能力产品化，服务多个团队。</x:v>
      </x:c>
      <x:c r="H12" s="24" t="str">
        <x:v>建设公司级 AI 设计系统、治理和专业社区。</x:v>
      </x:c>
      <x:c r="I12" s="24" t="str">
        <x:v>输出行业级设计基础设施或标准。</x:v>
      </x:c>
      <x:c r="J12" s="24" t="str">
        <x:v>复用团队数、使用质量、支持成本、废弃机制</x:v>
      </x:c>
      <x:c r="K12" s="30" t="str">
        <x:v>否</x:v>
      </x:c>
    </x:row>
    <x:row r="13" ht="116" customHeight="1">
      <x:c r="A13" s="40" t="str">
        <x:v>7. 安全、伦理与人类责任</x:v>
      </x:c>
      <x:c r="B13" s="24" t="str">
        <x:v>误导、操纵、偏见、隐私、可撤销、人工责任</x:v>
      </x:c>
      <x:c r="C13" s="24" t="str">
        <x:v>识别明显敏感数据和误导性表达。</x:v>
      </x:c>
      <x:c r="D13" s="24" t="str">
        <x:v>按规范处理隐私、披露和人工确认。</x:v>
      </x:c>
      <x:c r="E13" s="24" t="str">
        <x:v>在业务模块设计透明度、选择权、撤销和升级路径。</x:v>
      </x:c>
      <x:c r="F13" s="24" t="str">
        <x:v>处理高后果场景的公平、说服边界和人工接管。</x:v>
      </x:c>
      <x:c r="G13" s="24" t="str">
        <x:v>建立跨产品伦理设计和风险评审机制。</x:v>
      </x:c>
      <x:c r="H13" s="24" t="str">
        <x:v>参与公司风险偏好与重大体验 go/no-go。</x:v>
      </x:c>
      <x:c r="I13" s="24" t="str">
        <x:v>推动行业负责任设计原则。</x:v>
      </x:c>
      <x:c r="J13" s="24" t="str">
        <x:v>风险评估、用户测试、审批、投诉和事件复盘</x:v>
      </x:c>
      <x:c r="K13" s="30" t="str">
        <x:v>是</x:v>
      </x:c>
    </x:row>
  </x:sheetData>
  <x:mergeCells>
    <x:mergeCell ref="A2:K2"/>
    <x:mergeCell ref="A3:K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F8D42"/>
  </x:sheetPr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</x:cols>
  <x:sheetData>
    <x:row r="1">
      <x:c r="A1" s="31"/>
      <x:c r="B1" s="31"/>
      <x:c r="C1" s="31"/>
      <x:c r="D1" s="31"/>
      <x:c r="E1" s="31"/>
      <x:c r="F1" s="31"/>
      <x:c r="G1" s="31"/>
      <x:c r="H1" s="31"/>
      <x:c r="I1" s="31"/>
    </x:row>
    <x:row r="2" ht="28" customHeight="1">
      <x:c r="A2" s="1" t="str">
        <x:v>任职资格评估模板</x:v>
      </x:c>
      <x:c r="B2" s="31"/>
      <x:c r="C2" s="31"/>
      <x:c r="D2" s="31"/>
      <x:c r="E2" s="31"/>
      <x:c r="F2" s="31"/>
      <x:c r="G2" s="31"/>
      <x:c r="H2" s="31"/>
      <x:c r="I2" s="31"/>
    </x:row>
    <x:row r="3" ht="24" customHeight="1">
      <x:c r="A3" s="2" t="str">
        <x:v>选择岗位类型，填写 1–5 分行为成熟度。总分不能抵销门槛项；评分必须附原始证据。</x:v>
      </x:c>
      <x:c r="B3" s="31"/>
      <x:c r="C3" s="31"/>
      <x:c r="D3" s="31"/>
      <x:c r="E3" s="31"/>
      <x:c r="F3" s="31"/>
      <x:c r="G3" s="31"/>
      <x:c r="H3" s="31"/>
      <x:c r="I3" s="31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</x:row>
    <x:row r="5">
      <x:c r="A5" s="31"/>
      <x:c r="B5" s="31"/>
      <x:c r="C5" s="31"/>
      <x:c r="D5" s="31"/>
      <x:c r="E5" s="31"/>
      <x:c r="F5" s="31"/>
      <x:c r="G5" s="31"/>
      <x:c r="H5" s="31"/>
      <x:c r="I5" s="31"/>
    </x:row>
    <x:row r="6">
      <x:c r="A6" s="43" t="str">
        <x:v>被评估人</x:v>
      </x:c>
      <x:c r="B6" s="49" t="str"/>
      <x:c r="C6" s="31"/>
      <x:c r="D6" s="52" t="str">
        <x:v>评估结果</x:v>
      </x:c>
      <x:c r="E6" s="56" t="str">
        <x:f>IF(E8="未通过","暂不建议",IF(E7&gt;=80,"进入校准","继续发展"))</x:f>
        <x:v>继续发展</x:v>
      </x:c>
      <x:c r="F6" s="31"/>
      <x:c r="G6" s="31"/>
      <x:c r="H6" s="31"/>
      <x:c r="I6" s="31"/>
    </x:row>
    <x:row r="7">
      <x:c r="A7" s="43" t="str">
        <x:v>岗位类型</x:v>
      </x:c>
      <x:c r="B7" s="50" t="str">
        <x:v>金融AI产品</x:v>
      </x:c>
      <x:c r="C7" s="31"/>
      <x:c r="D7" s="52" t="str">
        <x:v>加权得分</x:v>
      </x:c>
      <x:c r="E7" s="57" t="n">
        <x:f>SUM(H13:H22)</x:f>
        <x:v>60</x:v>
      </x:c>
      <x:c r="F7" s="31"/>
      <x:c r="G7" s="31"/>
      <x:c r="H7" s="31"/>
      <x:c r="I7" s="31"/>
    </x:row>
    <x:row r="8">
      <x:c r="A8" s="43" t="str">
        <x:v>目标职级</x:v>
      </x:c>
      <x:c r="B8" s="50" t="str">
        <x:v>IC3</x:v>
      </x:c>
      <x:c r="C8" s="31"/>
      <x:c r="D8" s="52" t="str">
        <x:v>门槛状态</x:v>
      </x:c>
      <x:c r="E8" s="56" t="str">
        <x:f>IF(OR(I13="未通过",I14="未通过",I15="未通过",I16="未通过",I17="未通过",I18="未通过",I19="未通过",I20="未通过",I21="未通过",I22="未通过"),"未通过","通过")</x:f>
        <x:v>通过</x:v>
      </x:c>
      <x:c r="F8" s="31"/>
      <x:c r="G8" s="31"/>
      <x:c r="H8" s="31"/>
      <x:c r="I8" s="31"/>
    </x:row>
    <x:row r="9">
      <x:c r="A9" s="43" t="str">
        <x:v>评价周期</x:v>
      </x:c>
      <x:c r="B9" s="51" t="str"/>
      <x:c r="C9" s="31"/>
      <x:c r="D9" s="52" t="str">
        <x:v>晋升建议</x:v>
      </x:c>
      <x:c r="E9" s="56" t="str">
        <x:v>需由校准委员会结合证据与持续性判断</x:v>
      </x:c>
      <x:c r="F9" s="31"/>
      <x:c r="G9" s="31"/>
      <x:c r="H9" s="31"/>
      <x:c r="I9" s="31"/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</x:row>
    <x:row r="12" ht="34" customHeight="1">
      <x:c r="A12" s="15" t="str">
        <x:v>能力维度</x:v>
      </x:c>
      <x:c r="B12" s="16" t="str">
        <x:v>通用产品权重</x:v>
      </x:c>
      <x:c r="C12" s="16" t="str">
        <x:v>AI产品权重</x:v>
      </x:c>
      <x:c r="D12" s="16" t="str">
        <x:v>金融AI权重</x:v>
      </x:c>
      <x:c r="E12" s="16" t="str">
        <x:v>门槛项</x:v>
      </x:c>
      <x:c r="F12" s="16" t="str">
        <x:v>采用权重</x:v>
      </x:c>
      <x:c r="G12" s="16" t="str">
        <x:v>评分 1–5</x:v>
      </x:c>
      <x:c r="H12" s="16" t="str">
        <x:v>加权分</x:v>
      </x:c>
      <x:c r="I12" s="17" t="str">
        <x:v>门槛判断</x:v>
      </x:c>
    </x:row>
    <x:row r="13" ht="30" customHeight="1">
      <x:c r="A13" s="23" t="str">
        <x:v>用户与问题</x:v>
      </x:c>
      <x:c r="B13" s="60" t="n">
        <x:v>15</x:v>
      </x:c>
      <x:c r="C13" s="60" t="n">
        <x:v>10</x:v>
      </x:c>
      <x:c r="D13" s="60" t="n">
        <x:v>10</x:v>
      </x:c>
      <x:c r="E13" s="60" t="str">
        <x:v>是</x:v>
      </x:c>
      <x:c r="F13" s="60" t="n">
        <x:f>IF($B$7="通用产品",B13,IF($B$7="AI产品",C13,D13))</x:f>
        <x:v>10</x:v>
      </x:c>
      <x:c r="G13" s="61" t="n">
        <x:v>3</x:v>
      </x:c>
      <x:c r="H13" s="60" t="n">
        <x:f>F13*G13/5</x:f>
        <x:v>6</x:v>
      </x:c>
      <x:c r="I13" s="29" t="str">
        <x:f>IF(OR(E13="否",E13="按岗位"),"不适用",IF(G13&lt;3,"未通过","通过"))</x:f>
        <x:v>通过</x:v>
      </x:c>
    </x:row>
    <x:row r="14" ht="30" customHeight="1">
      <x:c r="A14" s="24" t="str">
        <x:v>战略与价值</x:v>
      </x:c>
      <x:c r="B14" s="62" t="n">
        <x:v>15</x:v>
      </x:c>
      <x:c r="C14" s="62" t="n">
        <x:v>10</x:v>
      </x:c>
      <x:c r="D14" s="62" t="n">
        <x:v>10</x:v>
      </x:c>
      <x:c r="E14" s="62" t="str">
        <x:v>是</x:v>
      </x:c>
      <x:c r="F14" s="62" t="n">
        <x:f>IF($B$7="通用产品",B14,IF($B$7="AI产品",C14,D14))</x:f>
        <x:v>10</x:v>
      </x:c>
      <x:c r="G14" s="63" t="n">
        <x:v>3</x:v>
      </x:c>
      <x:c r="H14" s="62" t="n">
        <x:f>F14*G14/5</x:f>
        <x:v>6</x:v>
      </x:c>
      <x:c r="I14" s="30" t="str">
        <x:f>IF(OR(E14="否",E14="按岗位"),"不适用",IF(G14&lt;3,"未通过","通过"))</x:f>
        <x:v>通过</x:v>
      </x:c>
    </x:row>
    <x:row r="15" ht="30" customHeight="1">
      <x:c r="A15" s="24" t="str">
        <x:v>产品生命周期</x:v>
      </x:c>
      <x:c r="B15" s="62" t="n">
        <x:v>10</x:v>
      </x:c>
      <x:c r="C15" s="62" t="n">
        <x:v>8</x:v>
      </x:c>
      <x:c r="D15" s="62" t="n">
        <x:v>5</x:v>
      </x:c>
      <x:c r="E15" s="62" t="str">
        <x:v>是</x:v>
      </x:c>
      <x:c r="F15" s="62" t="n">
        <x:f>IF($B$7="通用产品",B15,IF($B$7="AI产品",C15,D15))</x:f>
        <x:v>5</x:v>
      </x:c>
      <x:c r="G15" s="63" t="n">
        <x:v>3</x:v>
      </x:c>
      <x:c r="H15" s="62" t="n">
        <x:f>F15*G15/5</x:f>
        <x:v>3</x:v>
      </x:c>
      <x:c r="I15" s="30" t="str">
        <x:f>IF(OR(E15="否",E15="按岗位"),"不适用",IF(G15&lt;3,"未通过","通过"))</x:f>
        <x:v>通过</x:v>
      </x:c>
    </x:row>
    <x:row r="16" ht="30" customHeight="1">
      <x:c r="A16" s="24" t="str">
        <x:v>数据、实验与评测</x:v>
      </x:c>
      <x:c r="B16" s="62" t="n">
        <x:v>15</x:v>
      </x:c>
      <x:c r="C16" s="62" t="n">
        <x:v>15</x:v>
      </x:c>
      <x:c r="D16" s="62" t="n">
        <x:v>12</x:v>
      </x:c>
      <x:c r="E16" s="62" t="str">
        <x:v>是</x:v>
      </x:c>
      <x:c r="F16" s="62" t="n">
        <x:f>IF($B$7="通用产品",B16,IF($B$7="AI产品",C16,D16))</x:f>
        <x:v>12</x:v>
      </x:c>
      <x:c r="G16" s="63" t="n">
        <x:v>3</x:v>
      </x:c>
      <x:c r="H16" s="62" t="n">
        <x:f>F16*G16/5</x:f>
        <x:v>7.2</x:v>
      </x:c>
      <x:c r="I16" s="30" t="str">
        <x:f>IF(OR(E16="否",E16="按岗位"),"不适用",IF(G16&lt;3,"未通过","通过"))</x:f>
        <x:v>通过</x:v>
      </x:c>
    </x:row>
    <x:row r="17" ht="30" customHeight="1">
      <x:c r="A17" s="24" t="str">
        <x:v>交付与协同</x:v>
      </x:c>
      <x:c r="B17" s="62" t="n">
        <x:v>15</x:v>
      </x:c>
      <x:c r="C17" s="62" t="n">
        <x:v>10</x:v>
      </x:c>
      <x:c r="D17" s="62" t="n">
        <x:v>8</x:v>
      </x:c>
      <x:c r="E17" s="62" t="str">
        <x:v>否</x:v>
      </x:c>
      <x:c r="F17" s="62" t="n">
        <x:f>IF($B$7="通用产品",B17,IF($B$7="AI产品",C17,D17))</x:f>
        <x:v>8</x:v>
      </x:c>
      <x:c r="G17" s="63" t="n">
        <x:v>3</x:v>
      </x:c>
      <x:c r="H17" s="62" t="n">
        <x:f>F17*G17/5</x:f>
        <x:v>4.8</x:v>
      </x:c>
      <x:c r="I17" s="30" t="str">
        <x:f>IF(OR(E17="否",E17="按岗位"),"不适用",IF(G17&lt;3,"未通过","通过"))</x:f>
        <x:v>不适用</x:v>
      </x:c>
    </x:row>
    <x:row r="18" ht="30" customHeight="1">
      <x:c r="A18" s="24" t="str">
        <x:v>技术与系统</x:v>
      </x:c>
      <x:c r="B18" s="62" t="n">
        <x:v>10</x:v>
      </x:c>
      <x:c r="C18" s="62" t="n">
        <x:v>12</x:v>
      </x:c>
      <x:c r="D18" s="62" t="n">
        <x:v>10</x:v>
      </x:c>
      <x:c r="E18" s="62" t="str">
        <x:v>否</x:v>
      </x:c>
      <x:c r="F18" s="62" t="n">
        <x:f>IF($B$7="通用产品",B18,IF($B$7="AI产品",C18,D18))</x:f>
        <x:v>10</x:v>
      </x:c>
      <x:c r="G18" s="63" t="n">
        <x:v>3</x:v>
      </x:c>
      <x:c r="H18" s="62" t="n">
        <x:f>F18*G18/5</x:f>
        <x:v>6</x:v>
      </x:c>
      <x:c r="I18" s="30" t="str">
        <x:f>IF(OR(E18="否",E18="按岗位"),"不适用",IF(G18&lt;3,"未通过","通过"))</x:f>
        <x:v>不适用</x:v>
      </x:c>
    </x:row>
    <x:row r="19" ht="30" customHeight="1">
      <x:c r="A19" s="24" t="str">
        <x:v>AI 产品专项</x:v>
      </x:c>
      <x:c r="B19" s="62" t="n">
        <x:v>0</x:v>
      </x:c>
      <x:c r="C19" s="62" t="n">
        <x:v>17</x:v>
      </x:c>
      <x:c r="D19" s="62" t="n">
        <x:v>12</x:v>
      </x:c>
      <x:c r="E19" s="62" t="str">
        <x:v>按岗位</x:v>
      </x:c>
      <x:c r="F19" s="62" t="n">
        <x:f>IF($B$7="通用产品",B19,IF($B$7="AI产品",C19,D19))</x:f>
        <x:v>12</x:v>
      </x:c>
      <x:c r="G19" s="63" t="n">
        <x:v>3</x:v>
      </x:c>
      <x:c r="H19" s="62" t="n">
        <x:f>F19*G19/5</x:f>
        <x:v>7.2</x:v>
      </x:c>
      <x:c r="I19" s="30" t="str">
        <x:f>IF(OR(E19="否",E19="按岗位"),"不适用",IF(G19&lt;3,"未通过","通过"))</x:f>
        <x:v>不适用</x:v>
      </x:c>
    </x:row>
    <x:row r="20" ht="30" customHeight="1">
      <x:c r="A20" s="24" t="str">
        <x:v>商业化与采纳</x:v>
      </x:c>
      <x:c r="B20" s="62" t="n">
        <x:v>10</x:v>
      </x:c>
      <x:c r="C20" s="62" t="n">
        <x:v>8</x:v>
      </x:c>
      <x:c r="D20" s="62" t="n">
        <x:v>8</x:v>
      </x:c>
      <x:c r="E20" s="62" t="str">
        <x:v>否</x:v>
      </x:c>
      <x:c r="F20" s="62" t="n">
        <x:f>IF($B$7="通用产品",B20,IF($B$7="AI产品",C20,D20))</x:f>
        <x:v>8</x:v>
      </x:c>
      <x:c r="G20" s="63" t="n">
        <x:v>3</x:v>
      </x:c>
      <x:c r="H20" s="62" t="n">
        <x:f>F20*G20/5</x:f>
        <x:v>4.8</x:v>
      </x:c>
      <x:c r="I20" s="30" t="str">
        <x:f>IF(OR(E20="否",E20="按岗位"),"不适用",IF(G20&lt;3,"未通过","通过"))</x:f>
        <x:v>不适用</x:v>
      </x:c>
    </x:row>
    <x:row r="21" ht="30" customHeight="1">
      <x:c r="A21" s="24" t="str">
        <x:v>领导力与影响</x:v>
      </x:c>
      <x:c r="B21" s="62" t="n">
        <x:v>5</x:v>
      </x:c>
      <x:c r="C21" s="62" t="n">
        <x:v>5</x:v>
      </x:c>
      <x:c r="D21" s="62" t="n">
        <x:v>5</x:v>
      </x:c>
      <x:c r="E21" s="62" t="str">
        <x:v>否</x:v>
      </x:c>
      <x:c r="F21" s="62" t="n">
        <x:f>IF($B$7="通用产品",B21,IF($B$7="AI产品",C21,D21))</x:f>
        <x:v>5</x:v>
      </x:c>
      <x:c r="G21" s="63" t="n">
        <x:v>3</x:v>
      </x:c>
      <x:c r="H21" s="62" t="n">
        <x:f>F21*G21/5</x:f>
        <x:v>3</x:v>
      </x:c>
      <x:c r="I21" s="30" t="str">
        <x:f>IF(OR(E21="否",E21="按岗位"),"不适用",IF(G21&lt;3,"未通过","通过"))</x:f>
        <x:v>不适用</x:v>
      </x:c>
    </x:row>
    <x:row r="22" ht="30" customHeight="1">
      <x:c r="A22" s="24" t="str">
        <x:v>风险、合规与伦理</x:v>
      </x:c>
      <x:c r="B22" s="62" t="n">
        <x:v>5</x:v>
      </x:c>
      <x:c r="C22" s="62" t="n">
        <x:v>5</x:v>
      </x:c>
      <x:c r="D22" s="62" t="n">
        <x:v>20</x:v>
      </x:c>
      <x:c r="E22" s="62" t="str">
        <x:v>是</x:v>
      </x:c>
      <x:c r="F22" s="62" t="n">
        <x:f>IF($B$7="通用产品",B22,IF($B$7="AI产品",C22,D22))</x:f>
        <x:v>20</x:v>
      </x:c>
      <x:c r="G22" s="63" t="n">
        <x:v>3</x:v>
      </x:c>
      <x:c r="H22" s="62" t="n">
        <x:f>F22*G22/5</x:f>
        <x:v>12</x:v>
      </x:c>
      <x:c r="I22" s="30" t="str">
        <x:f>IF(OR(E22="否",E22="按岗位"),"不适用",IF(G22&lt;3,"未通过","通过"))</x:f>
        <x:v>通过</x:v>
      </x:c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</x:row>
    <x:row r="24">
      <x:c r="A24" s="65" t="str">
        <x:v>评分</x:v>
      </x:c>
      <x:c r="B24" s="65" t="str">
        <x:v>行为成熟度</x:v>
      </x:c>
      <x:c r="C24" s="65" t="str">
        <x:v>判断标准</x:v>
      </x:c>
      <x:c r="D24" s="31" t="str"/>
      <x:c r="E24" s="31" t="str"/>
      <x:c r="F24" s="31" t="str"/>
      <x:c r="G24" s="31" t="str"/>
      <x:c r="H24" s="31" t="str"/>
      <x:c r="I24" s="31" t="str"/>
    </x:row>
    <x:row r="25">
      <x:c r="A25" s="23" t="n">
        <x:v>1</x:v>
      </x:c>
      <x:c r="B25" s="23" t="str">
        <x:v>认知</x:v>
      </x:c>
      <x:c r="C25" s="23" t="str">
        <x:v>能解释概念，但没有实际责任证据。</x:v>
      </x:c>
      <x:c r="D25" s="31" t="str"/>
      <x:c r="E25" s="31" t="str"/>
      <x:c r="F25" s="31" t="str"/>
      <x:c r="G25" s="31" t="str"/>
      <x:c r="H25" s="31" t="str"/>
      <x:c r="I25" s="31" t="str"/>
    </x:row>
    <x:row r="26">
      <x:c r="A26" s="24" t="n">
        <x:v>2</x:v>
      </x:c>
      <x:c r="B26" s="24" t="str">
        <x:v>在指导下实践</x:v>
      </x:c>
      <x:c r="C26" s="24" t="str">
        <x:v>在明确框架和支持下完成，结果尚不稳定。</x:v>
      </x:c>
      <x:c r="D26" s="31" t="str"/>
      <x:c r="E26" s="31" t="str"/>
      <x:c r="F26" s="31" t="str"/>
      <x:c r="G26" s="31" t="str"/>
      <x:c r="H26" s="31" t="str"/>
      <x:c r="I26" s="31" t="str"/>
    </x:row>
    <x:row r="27">
      <x:c r="A27" s="24" t="n">
        <x:v>3</x:v>
      </x:c>
      <x:c r="B27" s="24" t="str">
        <x:v>独立且重复</x:v>
      </x:c>
      <x:c r="C27" s="24" t="str">
        <x:v>能独立承担并在两个以上周期稳定取得结果。</x:v>
      </x:c>
      <x:c r="D27" s="31" t="str"/>
      <x:c r="E27" s="31" t="str"/>
      <x:c r="F27" s="31" t="str"/>
      <x:c r="G27" s="31" t="str"/>
      <x:c r="H27" s="31" t="str"/>
      <x:c r="I27" s="31" t="str"/>
    </x:row>
    <x:row r="28">
      <x:c r="A28" s="24" t="n">
        <x:v>4</x:v>
      </x:c>
      <x:c r="B28" s="24" t="str">
        <x:v>规模化并辅导</x:v>
      </x:c>
      <x:c r="C28" s="24" t="str">
        <x:v>跨团队复用，能辅导他人取得同类结果。</x:v>
      </x:c>
      <x:c r="D28" s="31" t="str"/>
      <x:c r="E28" s="31" t="str"/>
      <x:c r="F28" s="31" t="str"/>
      <x:c r="G28" s="31" t="str"/>
      <x:c r="H28" s="31" t="str"/>
      <x:c r="I28" s="31" t="str"/>
    </x:row>
    <x:row r="29">
      <x:c r="A29" s="24" t="n">
        <x:v>5</x:v>
      </x:c>
      <x:c r="B29" s="24" t="str">
        <x:v>定义组织标准</x:v>
      </x:c>
      <x:c r="C29" s="24" t="str">
        <x:v>形成机制和标准，影响组织或行业。</x:v>
      </x:c>
      <x:c r="D29" s="31" t="str"/>
      <x:c r="E29" s="31" t="str"/>
      <x:c r="F29" s="31" t="str"/>
      <x:c r="G29" s="31" t="str"/>
      <x:c r="H29" s="31" t="str"/>
      <x:c r="I29" s="31" t="str"/>
    </x:row>
  </x:sheetData>
  <x:mergeCells>
    <x:mergeCell ref="A2:I2"/>
    <x:mergeCell ref="A3:I3"/>
  </x:mergeCells>
  <x:dataValidations count="3">
    <x:dataValidation type="list" sqref="B7">
      <x:formula1>"通用产品,AI产品,金融AI产品"</x:formula1>
    </x:dataValidation>
    <x:dataValidation type="list" sqref="B8">
      <x:formula1>"IC1,IC2,IC3,IC4,IC5,IC6,IC7"</x:formula1>
    </x:dataValidation>
    <x:dataValidation type="whole" operator="between" sqref="G13:G22">
      <x:formula1>1</x:formula1>
      <x:formula2>5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6B7672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42" hidden="0" customWidth="1"/>
    <x:col min="3" max="3" width="32" hidden="0" customWidth="1"/>
    <x:col min="4" max="4" width="32" hidden="0" customWidth="1"/>
    <x:col min="5" max="5" width="14" hidden="0" customWidth="1"/>
    <x:col min="6" max="6" width="18" hidden="0" customWidth="1"/>
  </x:cols>
  <x:sheetData>
    <x:row r="1">
      <x:c r="A1" s="31"/>
      <x:c r="B1" s="31"/>
      <x:c r="C1" s="31"/>
      <x:c r="D1" s="31"/>
      <x:c r="E1" s="31"/>
      <x:c r="F1" s="31"/>
    </x:row>
    <x:row r="2" ht="28" customHeight="1">
      <x:c r="A2" s="1" t="str">
        <x:v>晋升证据、校准规则与旧版修订说明</x:v>
      </x:c>
      <x:c r="B2" s="31"/>
      <x:c r="C2" s="31"/>
      <x:c r="D2" s="31"/>
      <x:c r="E2" s="31"/>
      <x:c r="F2" s="31"/>
    </x:row>
    <x:row r="3" ht="24" customHeight="1">
      <x:c r="A3" s="2" t="str">
        <x:v>任职资格的目标是提高判断一致性。它不能替代岗位编制、绩效、价值观、薪酬预算和组织任命。</x:v>
      </x:c>
      <x:c r="B3" s="31"/>
      <x:c r="C3" s="31"/>
      <x:c r="D3" s="31"/>
      <x:c r="E3" s="31"/>
      <x:c r="F3" s="31"/>
    </x:row>
    <x:row r="4">
      <x:c r="A4" s="32"/>
      <x:c r="B4" s="32"/>
      <x:c r="C4" s="32"/>
      <x:c r="D4" s="32"/>
      <x:c r="E4" s="32"/>
      <x:c r="F4" s="32"/>
    </x:row>
    <x:row r="5">
      <x:c r="A5" s="31"/>
      <x:c r="B5" s="31"/>
      <x:c r="C5" s="31"/>
      <x:c r="D5" s="31"/>
      <x:c r="E5" s="31"/>
      <x:c r="F5" s="31"/>
    </x:row>
    <x:row r="6" ht="34" customHeight="1">
      <x:c r="A6" s="15" t="str">
        <x:v>晋升证据包</x:v>
      </x:c>
      <x:c r="B6" s="16" t="str">
        <x:v>必须回答的问题</x:v>
      </x:c>
      <x:c r="C6" s="16" t="str">
        <x:v>合格证据</x:v>
      </x:c>
      <x:c r="D6" s="16" t="str">
        <x:v>不充分证据</x:v>
      </x:c>
      <x:c r="E6" s="16" t="str">
        <x:v>建议周期</x:v>
      </x:c>
      <x:c r="F6" s="17" t="str">
        <x:v>责任人</x:v>
      </x:c>
    </x:row>
    <x:row r="7" ht="62" customHeight="1">
      <x:c r="A7" s="27" t="str">
        <x:v>1. 责任边界</x:v>
      </x:c>
      <x:c r="B7" s="23" t="str">
        <x:v>本人独立决定什么，承担什么结果和风险？</x:v>
      </x:c>
      <x:c r="C7" s="23" t="str">
        <x:v>责任书、决策权限、预算/团队/用户范围</x:v>
      </x:c>
      <x:c r="D7" s="23" t="str">
        <x:v>项目清单、参会次数</x:v>
      </x:c>
      <x:c r="E7" s="23" t="str">
        <x:v>每次评审</x:v>
      </x:c>
      <x:c r="F7" s="23" t="str">
        <x:v>本人+直属负责人</x:v>
      </x:c>
    </x:row>
    <x:row r="8" ht="62" customHeight="1">
      <x:c r="A8" s="28" t="str">
        <x:v>2. 结果链</x:v>
      </x:c>
      <x:c r="B8" s="24" t="str">
        <x:v>基线、行动、中间指标和最终结果如何连接？</x:v>
      </x:c>
      <x:c r="C8" s="24" t="str">
        <x:v>可追溯数据、口径、分群、因果边界</x:v>
      </x:c>
      <x:c r="D8" s="24" t="str">
        <x:v>没有基线的增长比例</x:v>
      </x:c>
      <x:c r="E8" s="24" t="str">
        <x:v>连续2周期</x:v>
      </x:c>
      <x:c r="F8" s="24" t="str">
        <x:v>本人+数据伙伴</x:v>
      </x:c>
    </x:row>
    <x:row r="9" ht="62" customHeight="1">
      <x:c r="A9" s="28" t="str">
        <x:v>3. 决策质量</x:v>
      </x:c>
      <x:c r="B9" s="24" t="str">
        <x:v>关键取舍、反对意见和停止条件是什么？</x:v>
      </x:c>
      <x:c r="C9" s="24" t="str">
        <x:v>决策日志、反例、失败与修正</x:v>
      </x:c>
      <x:c r="D9" s="24" t="str">
        <x:v>只展示成功故事</x:v>
      </x:c>
      <x:c r="E9" s="24" t="str">
        <x:v>每次评审</x:v>
      </x:c>
      <x:c r="F9" s="24" t="str">
        <x:v>评审委员会</x:v>
      </x:c>
    </x:row>
    <x:row r="10" ht="62" customHeight="1">
      <x:c r="A10" s="28" t="str">
        <x:v>4. 用户证据</x:v>
      </x:c>
      <x:c r="B10" s="24" t="str">
        <x:v>哪些用户真正受益，谁可能受损？</x:v>
      </x:c>
      <x:c r="C10" s="24" t="str">
        <x:v>研究原始记录、行为、投诉、长期结果</x:v>
      </x:c>
      <x:c r="D10" s="24" t="str">
        <x:v>好评截图、单个案例</x:v>
      </x:c>
      <x:c r="E10" s="24" t="str">
        <x:v>连续2周期</x:v>
      </x:c>
      <x:c r="F10" s="24" t="str">
        <x:v>产品+研究/运营</x:v>
      </x:c>
    </x:row>
    <x:row r="11" ht="62" customHeight="1">
      <x:c r="A11" s="28" t="str">
        <x:v>5. AI 证据</x:v>
      </x:c>
      <x:c r="B11" s="24" t="str">
        <x:v>质量、成本、延迟、失败和人工接管如何？</x:v>
      </x:c>
      <x:c r="C11" s="24" t="str">
        <x:v>评测集、分群、阈值、回归、HITL、监控</x:v>
      </x:c>
      <x:c r="D11" s="24" t="str">
        <x:v>模型总分、Prompt 数量</x:v>
      </x:c>
      <x:c r="E11" s="24" t="str">
        <x:v>每个版本</x:v>
      </x:c>
      <x:c r="F11" s="24" t="str">
        <x:v>产品+技术+数据</x:v>
      </x:c>
    </x:row>
    <x:row r="12" ht="62" customHeight="1">
      <x:c r="A12" s="28" t="str">
        <x:v>6. 风险证据</x:v>
      </x:c>
      <x:c r="B12" s="24" t="str">
        <x:v>数据、模型、合规和事件责任是否闭环？</x:v>
      </x:c>
      <x:c r="C12" s="24" t="str">
        <x:v>风险分级、验证、审批、日志、事件复盘</x:v>
      </x:c>
      <x:c r="D12" s="24" t="str">
        <x:v>免责声明、口头确认</x:v>
      </x:c>
      <x:c r="E12" s="24" t="str">
        <x:v>持续</x:v>
      </x:c>
      <x:c r="F12" s="24" t="str">
        <x:v>业务+合规/风险</x:v>
      </x:c>
    </x:row>
    <x:row r="13" ht="62" customHeight="1">
      <x:c r="A13" s="28" t="str">
        <x:v>7. 组织影响</x:v>
      </x:c>
      <x:c r="B13" s="24" t="str">
        <x:v>什么能力在本人离开后仍可运行？</x:v>
      </x:c>
      <x:c r="C13" s="24" t="str">
        <x:v>复用团队、机制、人才培养结果</x:v>
      </x:c>
      <x:c r="D13" s="24" t="str">
        <x:v>分享次数、培训场次</x:v>
      </x:c>
      <x:c r="E13" s="24" t="str">
        <x:v>连续2周期</x:v>
      </x:c>
      <x:c r="F13" s="24" t="str">
        <x:v>跨团队评委</x:v>
      </x:c>
    </x:row>
    <x:row r="14" ht="62" customHeight="1">
      <x:c r="A14" s="28" t="str">
        <x:v>8. 持续性</x:v>
      </x:c>
      <x:c r="B14" s="24" t="str">
        <x:v>结果是否保留，成本或风险是否被转移？</x:v>
      </x:c>
      <x:c r="C14" s="24" t="str">
        <x:v>跨周期趋势、运行成本、滞后风险</x:v>
      </x:c>
      <x:c r="D14" s="24" t="str">
        <x:v>一次峰值、一次明星项目</x:v>
      </x:c>
      <x:c r="E14" s="24" t="str">
        <x:v>至少2周期</x:v>
      </x:c>
      <x:c r="F14" s="24" t="str">
        <x:v>委员会</x:v>
      </x:c>
    </x:row>
    <x:row r="15">
      <x:c r="A15" s="31"/>
      <x:c r="B15" s="31"/>
      <x:c r="C15" s="31"/>
      <x:c r="D15" s="31"/>
      <x:c r="E15" s="31"/>
      <x:c r="F15" s="31"/>
    </x:row>
    <x:row r="16" ht="34" customHeight="1">
      <x:c r="A16" s="15" t="str">
        <x:v>旧版问题</x:v>
      </x:c>
      <x:c r="B16" s="16" t="str">
        <x:v>重构处理</x:v>
      </x:c>
      <x:c r="C16" s="16" t="str">
        <x:v>原因</x:v>
      </x:c>
      <x:c r="D16" s="16" t="str">
        <x:v>落地动作</x:v>
      </x:c>
      <x:c r="E16" s="16" t="str">
        <x:v>优先级</x:v>
      </x:c>
      <x:c r="F16" s="17" t="str">
        <x:v>状态</x:v>
      </x:c>
    </x:row>
    <x:row r="17" ht="62" customHeight="1">
      <x:c r="A17" s="23" t="str">
        <x:v>全员 AI 应用与 AI 产品岗混在一行</x:v>
      </x:c>
      <x:c r="B17" s="23" t="str">
        <x:v>拆成全员 AI 基线 + AI 产品专项</x:v>
      </x:c>
      <x:c r="C17" s="23" t="str">
        <x:v>会使用工具不等于对 AI 产品质量和风险负责</x:v>
      </x:c>
      <x:c r="D17" s="23" t="str">
        <x:v>岗位说明标注是否适用 AI 专项</x:v>
      </x:c>
      <x:c r="E17" s="29" t="str">
        <x:v>高</x:v>
      </x:c>
      <x:c r="F17" s="29" t="str">
        <x:v>已重写</x:v>
      </x:c>
    </x:row>
    <x:row r="18" ht="62" customHeight="1">
      <x:c r="A18" s="24" t="str">
        <x:v>IC5 以后传统专业能力大量空白</x:v>
      </x:c>
      <x:c r="B18" s="24" t="str">
        <x:v>所有核心能力补齐至 IC7</x:v>
      </x:c>
      <x:c r="C18" s="24" t="str">
        <x:v>高阶职级仍需可观察的专业责任</x:v>
      </x:c>
      <x:c r="D18" s="24" t="str">
        <x:v>用公司级/行业级责任锚定</x:v>
      </x:c>
      <x:c r="E18" s="30" t="str">
        <x:v>高</x:v>
      </x:c>
      <x:c r="F18" s="30" t="str">
        <x:v>已重写</x:v>
      </x:c>
    </x:row>
    <x:row r="19" ht="62" customHeight="1">
      <x:c r="A19" s="24" t="str">
        <x:v>IC 通道混入团队管理要求</x:v>
      </x:c>
      <x:c r="B19" s="24" t="str">
        <x:v>专业影响与人员管理分开</x:v>
      </x:c>
      <x:c r="C19" s="24" t="str">
        <x:v>Principal 可通过专业系统影响晋升</x:v>
      </x:c>
      <x:c r="D19" s="24" t="str">
        <x:v>另建管理序列，不强制带人</x:v>
      </x:c>
      <x:c r="E19" s="30" t="str">
        <x:v>高</x:v>
      </x:c>
      <x:c r="F19" s="30" t="str">
        <x:v>已重写</x:v>
      </x:c>
    </x:row>
    <x:row r="20" ht="62" customHeight="1">
      <x:c r="A20" s="24" t="str">
        <x:v>学历和年限作为硬门槛</x:v>
      </x:c>
      <x:c r="B20" s="24" t="str">
        <x:v>改为参考画像，不进入能力评分</x:v>
      </x:c>
      <x:c r="C20" s="24" t="str">
        <x:v>年限是招聘代理变量，不能证明下一职级行为</x:v>
      </x:c>
      <x:c r="D20" s="24" t="str">
        <x:v>保留必要监管资格，取消普遍学历硬卡</x:v>
      </x:c>
      <x:c r="E20" s="30" t="str">
        <x:v>高</x:v>
      </x:c>
      <x:c r="F20" s="30" t="str">
        <x:v>建议执行</x:v>
      </x:c>
    </x:row>
    <x:row r="21" ht="62" customHeight="1">
      <x:c r="A21" s="24" t="str">
        <x:v>交付物数量容易替代产品结果</x:v>
      </x:c>
      <x:c r="B21" s="24" t="str">
        <x:v>以用户、业务、质量和风险结果为核心</x:v>
      </x:c>
      <x:c r="C21" s="24" t="str">
        <x:v>PRD 和上线只是过程证据</x:v>
      </x:c>
      <x:c r="D21" s="24" t="str">
        <x:v>晋升材料采用八类证据包</x:v>
      </x:c>
      <x:c r="E21" s="30" t="str">
        <x:v>高</x:v>
      </x:c>
      <x:c r="F21" s="30" t="str">
        <x:v>已重写</x:v>
      </x:c>
    </x:row>
    <x:row r="22" ht="62" customHeight="1">
      <x:c r="A22" s="24" t="str">
        <x:v>金融风险内容过于笼统</x:v>
      </x:c>
      <x:c r="B22" s="24" t="str">
        <x:v>增加客户、数据、模型、审计、人类问责门槛</x:v>
      </x:c>
      <x:c r="C22" s="24" t="str">
        <x:v>高后果场景不能用增长分抵销</x:v>
      </x:c>
      <x:c r="D22" s="24" t="str">
        <x:v>金融 AI 岗位采用独立门禁</x:v>
      </x:c>
      <x:c r="E22" s="30" t="str">
        <x:v>高</x:v>
      </x:c>
      <x:c r="F22" s="30" t="str">
        <x:v>已重写</x:v>
      </x:c>
    </x:row>
    <x:row r="23" ht="62" customHeight="1">
      <x:c r="A23" s="24" t="str">
        <x:v>视觉 AI 偏提效，缺少 AI 原生体验</x:v>
      </x:c>
      <x:c r="B23" s="24" t="str">
        <x:v>补齐不确定性交互、可访问性、品牌/IP 和伦理</x:v>
      </x:c>
      <x:c r="C23" s="24" t="str">
        <x:v>设计师对信任校准和用户控制承担直接责任</x:v>
      </x:c>
      <x:c r="D23" s="24" t="str">
        <x:v>作为视觉设计现行表的专项补充</x:v>
      </x:c>
      <x:c r="E23" s="30" t="str">
        <x:v>中</x:v>
      </x:c>
      <x:c r="F23" s="30" t="str">
        <x:v>已重写</x:v>
      </x:c>
    </x:row>
    <x:row r="24" ht="62" customHeight="1">
      <x:c r="A24" s="24" t="str">
        <x:v>同一 IC 级别描述长度与颗粒度差异大</x:v>
      </x:c>
      <x:c r="B24" s="24" t="str">
        <x:v>统一为责任、行为、证据三层</x:v>
      </x:c>
      <x:c r="C24" s="24" t="str">
        <x:v>减少评委自由解释空间</x:v>
      </x:c>
      <x:c r="D24" s="24" t="str">
        <x:v>用真实样本做盲校准</x:v>
      </x:c>
      <x:c r="E24" s="30" t="str">
        <x:v>中</x:v>
      </x:c>
      <x:c r="F24" s="30" t="str">
        <x:v>建议执行</x:v>
      </x:c>
    </x:row>
    <x:row r="25">
      <x:c r="A25" s="31"/>
      <x:c r="B25" s="31"/>
      <x:c r="C25" s="31"/>
      <x:c r="D25" s="31"/>
      <x:c r="E25" s="31"/>
      <x:c r="F25" s="31"/>
    </x:row>
    <x:row r="26">
      <x:c r="A26" s="65" t="str">
        <x:v>校准规则</x:v>
      </x:c>
      <x:c r="B26" s="65" t="str">
        <x:v>执行标准</x:v>
      </x:c>
      <x:c r="C26" s="65" t="str"/>
      <x:c r="D26" s="65" t="str"/>
      <x:c r="E26" s="65" t="str"/>
      <x:c r="F26" s="65" t="str"/>
    </x:row>
    <x:row r="27" ht="42" customHeight="1">
      <x:c r="A27" s="68" t="str">
        <x:v>职级依据</x:v>
      </x:c>
      <x:c r="B27" s="23" t="str">
        <x:v>责任范围、问题复杂度、结果持续性、影响半径和风险责任；不按 title、学历或工龄直接判定。</x:v>
      </x:c>
      <x:c r="C27" s="23" t="str"/>
      <x:c r="D27" s="23" t="str"/>
      <x:c r="E27" s="23" t="str"/>
      <x:c r="F27" s="23" t="str"/>
    </x:row>
    <x:row r="28" ht="42" customHeight="1">
      <x:c r="A28" s="69" t="str">
        <x:v>晋升持续性</x:v>
      </x:c>
      <x:c r="B28" s="24" t="str">
        <x:v>在至少两个连续评价周期展示下一职级核心行为；一次明星项目不足以晋级。</x:v>
      </x:c>
      <x:c r="C28" s="24" t="str"/>
      <x:c r="D28" s="24" t="str"/>
      <x:c r="E28" s="24" t="str"/>
      <x:c r="F28" s="24" t="str"/>
    </x:row>
    <x:row r="29" ht="42" customHeight="1">
      <x:c r="A29" s="69" t="str">
        <x:v>门槛项</x:v>
      </x:c>
      <x:c r="B29" s="24" t="str">
        <x:v>用户与问题、战略、生命周期、数据结果、风险诚信等关键项低于 3 分时，不得以总分补偿。</x:v>
      </x:c>
      <x:c r="C29" s="24" t="str"/>
      <x:c r="D29" s="24" t="str"/>
      <x:c r="E29" s="24" t="str"/>
      <x:c r="F29" s="24" t="str"/>
    </x:row>
    <x:row r="30" ht="42" customHeight="1">
      <x:c r="A30" s="69" t="str">
        <x:v>证据责任</x:v>
      </x:c>
      <x:c r="B30" s="24" t="str">
        <x:v>本人陈述、直属负责人、数据/技术/风险伙伴和跨团队评委共同提供证据；明确团队贡献。</x:v>
      </x:c>
      <x:c r="C30" s="24" t="str"/>
      <x:c r="D30" s="24" t="str"/>
      <x:c r="E30" s="24" t="str"/>
      <x:c r="F30" s="24" t="str"/>
    </x:row>
    <x:row r="31" ht="42" customHeight="1">
      <x:c r="A31" s="69" t="str">
        <x:v>盲校准</x:v>
      </x:c>
      <x:c r="B31" s="24" t="str">
        <x:v>用 8–12 个真实匿名案例校准。评委差异超过 1 级时，先修订行为锚点，不急于绑定薪酬。</x:v>
      </x:c>
      <x:c r="C31" s="24" t="str"/>
      <x:c r="D31" s="24" t="str"/>
      <x:c r="E31" s="24" t="str"/>
      <x:c r="F31" s="24" t="str"/>
    </x:row>
    <x:row r="32" ht="42" customHeight="1">
      <x:c r="A32" s="69" t="str">
        <x:v>IC 与管理</x:v>
      </x:c>
      <x:c r="B32" s="24" t="str">
        <x:v>IC 评价专业系统影响；管理者评价人才密度、资源配置、组合质量、组织机制和继任梯队。</x:v>
      </x:c>
      <x:c r="C32" s="24" t="str"/>
      <x:c r="D32" s="24" t="str"/>
      <x:c r="E32" s="24" t="str"/>
      <x:c r="F32" s="24" t="str"/>
    </x:row>
    <x:row r="33" ht="42" customHeight="1">
      <x:c r="A33" s="69" t="str">
        <x:v>评审频率</x:v>
      </x:c>
      <x:c r="B33" s="24" t="str">
        <x:v>半年一次正式校准，季度更新发展证据；岗位变化时即时重定级。</x:v>
      </x:c>
      <x:c r="C33" s="24" t="str"/>
      <x:c r="D33" s="24" t="str"/>
      <x:c r="E33" s="24" t="str"/>
      <x:c r="F33" s="24" t="str"/>
    </x:row>
    <x:row r="34" ht="42" customHeight="1">
      <x:c r="A34" s="69" t="str">
        <x:v>版本治理</x:v>
      </x:c>
      <x:c r="B34" s="24" t="str">
        <x:v>每年复审一次标准。AI 技术名词可更新，但场景、评测、可靠性、安全和人类问责责任保持稳定。</x:v>
      </x:c>
      <x:c r="C34" s="24" t="str"/>
      <x:c r="D34" s="24" t="str"/>
      <x:c r="E34" s="24" t="str"/>
      <x:c r="F34" s="24" t="str"/>
    </x:row>
    <x:row r="35" ht="42" customHeight="1">
      <x:c r="A35" s="69" t="str">
        <x:v>内部来源</x:v>
      </x:c>
      <x:c r="B35" s="24" t="str">
        <x:v>任职资格能力标准（产品序列-产品）（2026v2）；任职资格能力标准（产品序列-视觉设计）（2026更新AI应用能力）。原文件不随本重构版公开。</x:v>
      </x:c>
      <x:c r="C35" s="24" t="str"/>
      <x:c r="D35" s="24" t="str"/>
      <x:c r="E35" s="24" t="str"/>
      <x:c r="F35" s="24" t="str"/>
    </x:row>
    <x:row r="36" ht="42" customHeight="1">
      <x:c r="A36" s="69" t="str">
        <x:v>外部校准</x:v>
      </x:c>
      <x:c r="B36" s="24" t="str">
        <x:v>UK Government DDaT、SFIA 9、U.S. OPM AI Competency Model、NIST AI RMF，以及海内外企业公开岗位样本。完整链接见线上研究报告。</x:v>
      </x:c>
      <x:c r="C36" s="24" t="str"/>
      <x:c r="D36" s="24" t="str"/>
      <x:c r="E36" s="24" t="str"/>
      <x:c r="F36" s="24" t="str"/>
    </x:row>
  </x:sheetData>
  <x:mergeCells>
    <x:mergeCell ref="A2:F2"/>
    <x:mergeCell ref="A3:F3"/>
    <x:mergeCell ref="B27:F27"/>
    <x:mergeCell ref="B28:F28"/>
    <x:mergeCell ref="B29:F29"/>
    <x:mergeCell ref="B30:F30"/>
    <x:mergeCell ref="B31:F31"/>
    <x:mergeCell ref="B32:F32"/>
    <x:mergeCell ref="B33:F33"/>
    <x:mergeCell ref="B34:F34"/>
    <x:mergeCell ref="B35:F35"/>
    <x:mergeCell ref="B36:F36"/>
  </x:mergeCells>
  <x:pageMargins left="0.7" right="0.7" top="0.75" bottom="0.75" header="0.3" footer="0.3"/>
</x:worksheet>
</file>